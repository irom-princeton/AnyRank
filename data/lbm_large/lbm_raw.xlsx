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2" sheetId="1" r:id="rId5"/>
    <sheet state="visible" name="Fig3" sheetId="2" r:id="rId6"/>
    <sheet state="visible" name="Fig4_AB" sheetId="3" r:id="rId7"/>
    <sheet state="visible" name="Fig4_C" sheetId="4" r:id="rId8"/>
    <sheet state="visible" name="Fig4_DE" sheetId="5" r:id="rId9"/>
    <sheet state="visible" name="Fig4_F" sheetId="6" r:id="rId10"/>
    <sheet state="visible" name="Fig5_A" sheetId="7" r:id="rId11"/>
    <sheet state="visible" name="Fig5_B" sheetId="8" r:id="rId12"/>
    <sheet state="visible" name="Fig5_C" sheetId="9" r:id="rId13"/>
    <sheet state="visible" name="Fig5_D" sheetId="10" r:id="rId14"/>
    <sheet state="visible" name="Fig6" sheetId="11" r:id="rId15"/>
    <sheet state="visible" name="Fig7" sheetId="12" r:id="rId16"/>
    <sheet state="visible" name="FigS15" sheetId="13" r:id="rId17"/>
    <sheet state="visible" name="FigS16" sheetId="14" r:id="rId18"/>
    <sheet state="visible" name="FigS17" sheetId="15" r:id="rId19"/>
    <sheet state="visible" name="FigS18" sheetId="16" r:id="rId20"/>
    <sheet state="visible" name="FigS30" sheetId="17" r:id="rId21"/>
    <sheet state="visible" name="FigS31" sheetId="18" r:id="rId22"/>
    <sheet state="visible" name="FigS34" sheetId="19" r:id="rId23"/>
    <sheet state="visible" name="FigS35" sheetId="20" r:id="rId24"/>
  </sheets>
  <definedNames/>
  <calcPr/>
</workbook>
</file>

<file path=xl/sharedStrings.xml><?xml version="1.0" encoding="utf-8"?>
<sst xmlns="http://schemas.openxmlformats.org/spreadsheetml/2006/main" count="3501" uniqueCount="534">
  <si>
    <t>Panel</t>
  </si>
  <si>
    <t>Task</t>
  </si>
  <si>
    <t>Method</t>
  </si>
  <si>
    <t>Success/Failure</t>
  </si>
  <si>
    <t>Num_Successes</t>
  </si>
  <si>
    <t>Num_Rollouts</t>
  </si>
  <si>
    <t>Success_Rate</t>
  </si>
  <si>
    <t>CLD_Letter</t>
  </si>
  <si>
    <t>Fig2A_HW_Seen_Nominal</t>
  </si>
  <si>
    <t>PutKiwiInCenterOfTable</t>
  </si>
  <si>
    <t>Single Task</t>
  </si>
  <si>
    <t>[False,True,True,False,True,False,False,False,False,False,False,False,True,False,False,False,True,True,False,True,False,False,False,True,True,False,False,False,True,True,True,False,True,False,True,True,True,True,False,True,False,True,False,False,False,False,True,False,True,True]</t>
  </si>
  <si>
    <t>b</t>
  </si>
  <si>
    <t>LBM zeroshot</t>
  </si>
  <si>
    <t>[False,False,False,False,False,False,False,True,False,False,False,False,True,False,False,False,True,False,False,True,False,False,False,True,True,False,False,False,False,False,True,False,False,False,False,False,False,False,True,False,False,False,False,False,False,False,False,True,True,False]</t>
  </si>
  <si>
    <t>c</t>
  </si>
  <si>
    <t>LBM finetuned</t>
  </si>
  <si>
    <t>[True,True,True,True,True,False,True,True,True,True,True,True,True,False,True,True,False,False,False,True,True,True,True,True,True,True,True,True,False,True,True,True,True,True,True,True,True,True,True,False,True,True,True,False,True,True,False,True,True,True]</t>
  </si>
  <si>
    <t>a</t>
  </si>
  <si>
    <t>PushCoasterToMug</t>
  </si>
  <si>
    <t>[False,False,False,False,True,False,False,False,False,False,False,True,False,False,True,True,False,False,False,True,False,True,False,False,False,False,False,False,False,False,False,False,False,False,False,False,False,False,False,False,False,False,False,False,False,False,False,False,False,False]</t>
  </si>
  <si>
    <t>[False,False,False,False,False,False,False,False,False,True,False,True,False,False,False,False,False,False,False,True,False,False,False,False,False,False,False,False,False,True,False,True,True,True,False,False,False,False,False,False,False,False,False,False,False,False,False,False,False,False]</t>
  </si>
  <si>
    <t>[True,False,True,True,True,False,False,True,True,True,False,True,False,False,True,True,True,False,False,True,False,True,False,False,True,False,False,False,False,False,False,False,True,False,False,False,False,False,True,False,False,False,False,False,False,True,False,False,False,False]</t>
  </si>
  <si>
    <t>TurnMugRightsideUp</t>
  </si>
  <si>
    <t>[False,True,True,True,False,False,True,True,True,True,False,False,True,True,True,True,True,True,True,True,True,True,True,True,True,False,True,True,True,True,True,False,True,True,True,True,True,True,True,True,True,True,True,False,True,True,True,True,True,True]</t>
  </si>
  <si>
    <t>[False,False,False,True,False,False,True,True,True,False,False,False,True,False,True,False,False,False,True,False,True,False,True,True,True,True,True,False,False,False,True,False,False,True,True,True,True,False,True,True,True,True,True,False,True,True,True,True,False,True]</t>
  </si>
  <si>
    <t>[True,True,True,True,False,True,True,True,True,False,True,True,True,True,True,True,True,True,True,False,True,True,True,True,True,True,True,True,True,False,True,True,True,True,True,True,True,True,True,True,True,True,True,False,True,True,True,True,False,True]</t>
  </si>
  <si>
    <t>Aggregate - Hardware</t>
  </si>
  <si>
    <t>[False,False,True,False,True,True,True,True,True,True,True,False,True,True,True,True,False,False,False,True,True,True,True,False,True,True,True,False,True,False,True,True,False,True,True,True,True,False,False,False,False,False,False,False,False,True,False,False,True,False,False,False,True,True,True,False,True,False,False,True,False,True,False,False,False,False,False,True,False,True,True,True,False,True,False,True,True,False,False,True,False,True,True,True,False,True,False,False,False,True,False,False,True,False,True,False,True,False,False,True,True,True,False,False,True,False,False,False,False,False,True,True,True,False,False,False,True,False,False,True,False,True,False,False,False,False,False,False,True,True,False,False,True,True,False,False,False,False,True,False,False,True,True,False,False,False,True,True,False,True]</t>
  </si>
  <si>
    <t>[False,False,True,True,False,True,False,False,False,False,False,False,True,False,False,False,True,False,True,True,False,True,False,False,False,False,True,False,False,False,True,False,False,False,False,False,False,False,False,False,True,False,True,False,True,False,False,False,False,False,False,False,False,False,False,True,False,False,False,False,True,True,True,False,True,False,True,False,False,False,False,True,False,True,True,False,True,False,False,False,True,True,True,False,True,True,False,False,True,True,True,False,False,False,True,False,False,False,False,False,False,False,False,False,True,True,False,True,False,False,False,True,False,False,False,False,False,True,True,False,False,False,True,True,True,False,False,True,True,False,False,False,False,False,False,False,False,False,True,False,True,False,False,False,False,False,False,False,False,False]</t>
  </si>
  <si>
    <t>[True,False,False,True,True,False,False,True,True,True,True,True,False,True,True,False,False,True,True,True,True,False,True,True,True,False,True,True,True,True,True,True,True,True,False,True,True,True,True,False,True,True,True,True,True,True,False,True,True,True,True,False,True,True,True,True,True,True,True,True,True,True,False,False,True,True,True,True,False,True,True,False,True,False,False,False,True,False,True,True,True,True,True,False,False,True,False,True,True,True,False,True,False,True,True,True,False,False,True,True,True,True,True,False,True,True,True,True,True,True,False,False,False,True,True,False,False,False,True,False,False,False,True,False,True,True,True,True,True,False,False,False,True,False,False,True,True,True,False,True,False,False,True,True,True,False,True,True,True,True]</t>
  </si>
  <si>
    <t>Fig2A_Sim_Seen_Nominal</t>
  </si>
  <si>
    <t>BimanualPlaceAppleFromBowlIntoBin</t>
  </si>
  <si>
    <t>[True,True,True,False,True,False,True,True,True,True,True,True,True,True,False,True,False,True,True,True,False,True,True,True,False,True,True,False,False,True,True,True,True,True,True,True,True,True,True,True,False,True,True,True,True,True,True,True,False,True,True,True,True,True,True,True,True,False,True,True,True,True,True,True,False,True,False,True,False,False,False,True,False,True,False,False,False,True,True,True,True,True,True,True,True,True,True,True,True,False,True,True,True,False,True,False,True,True,True,True,True,True,True,True,True,True,False,False,True,True,False,True,True,True,True,False,True,True,False,True,False,True,False,True,True,True,False,True,True,False,True,True,True,False,False,True,True,True,False,True,False,True,True,True,True,True,True,True,True,False,False,True,False,True,False,True,True,False,True,True,True,True,False,False,True,True,True,False,True,True,False,False,True,False,True,True,True,True,False,True,True,True,True,True,True,True,True,False,True,True,True,False,True,True,True,False,True,True,True,True]</t>
  </si>
  <si>
    <t>[True,False,True,True,True,True,True,True,True,True,True,False,True,False,True,True,False,True,False,True,True,False,True,True,False,False,True,True,True,True,True,True,True,True,False,True,True,True,True,False,False,True,True,False,True,True,False,True,True,True,True,True,True,True,False,False,True,True,True,True,True,False,True,True,False,True,False,True,False,False,True,True,True,False,False,True,False,True,True,True,True,True,True,True,False,True,True,True,True,True,True,True,True,True,True,False,True,True,False,True,True,True,False,True,True,False,True,True,False,True,True,True,True,True,True,False,True,True,False,True,True,True,True,True,True,True,False,True,False,True,True,True,False,True,False,True,True,True,True,True,True,True,True,True,True,True,True,True,False,True,True,True,True,True,True,False,True,False,True,True,False,True,True,False,True,True,False,False,True,True,False,True,True,True,True,True,True,True,False,True,True,True,True,True,True,False,True,True,True,True,True,True,False,False,False,True,True,True,False,True]</t>
  </si>
  <si>
    <t>[True,True,True,True,True,True,True,True,True,True,True,False,True,True,True,True,True,True,True,True,True,True,True,False,True,False,True,True,False,True,True,True,False,True,False,True,True,True,True,True,True,True,True,False,True,True,True,True,False,True,True,True,True,True,True,True,True,True,True,True,True,False,True,True,False,True,True,True,False,False,False,True,False,True,False,True,True,False,True,True,True,True,True,True,False,True,True,True,True,True,True,True,True,False,True,True,True,True,True,True,True,True,False,True,True,True,True,True,True,True,True,True,False,False,True,False,True,True,False,True,True,False,True,True,True,True,True,True,False,True,True,True,True,True,False,True,True,True,True,True,True,True,True,True,True,False,True,True,True,False,True,True,True,False,True,True,True,False,True,True,True,True,True,True,True,True,False,True,True,True,False,False,False,True,True,True,True,False,False,True,True,True,True,False,True,True,True,True,True,True,True,True,False,False,False,True,False,True,False,True]</t>
  </si>
  <si>
    <t>BimanualPlaceFruitFromBowlIntoBin</t>
  </si>
  <si>
    <t>[True,False,True,True,False,True,False,False,True,False,False,True,True,True,False,True,True,True,False,True,False,False,True,True,False,False,False,False,True,False,False,True,True,True,False,False,False,True,True,True,True,False,False,False,True,True,False,True,False,True,False,True,True,False,True,True,True,True,False,True,True,False,True,True,True,False,False,False,True,True,True,True,False,True,True,False,True,True,True,False,True,True,False,True,True,True,True,True,True,True,True,False,True,True,True,True,True,False,True,False,False,True,False,True,False,True,True,True,True,True,True,True,True,True,False,False,False,False,True,True,False,False,False,True,True,True,False,False,True,True,True,True,False,False,True,False,True,False,True,True,False,True,False,False,False,True,False,True,True,False,False,False,True,False,True,True,True,False,False,True,False,True,True,False,True,True,True,True,True,True,False,False,True,True,False,False,True,True,True,True,True,False,True,True,False,True,True,False,True,True,False,False,True,True,True,True,False,True,True,True]</t>
  </si>
  <si>
    <t>[True,True,True,True,True,False,False,True,True,False,False,True,True,True,False,True,True,True,True,True,True,True,True,True,True,True,True,True,False,True,True,True,True,True,True,False,True,False,True,True,True,True,False,True,True,True,True,True,True,True,True,False,True,True,True,True,True,True,True,True,True,True,True,True,True,True,True,True,True,True,True,False,True,False,False,True,True,True,True,True,True,True,True,False,True,True,True,True,True,True,True,False,False,True,True,True,True,False,True,True,True,True,True,True,True,True,True,True,True,True,True,True,True,True,True,True,False,True,True,False,True,True,True,False,True,True,True,True,True,True,True,True,False,True,True,True,True,True,True,True,False,True,True,True,False,True,False,True,True,True,True,False,True,True,True,True,True,False,True,True,False,True,True,True,True,True,True,True,True,True,True,True,True,True,False,True,True,True,True,True,True,True,True,True,True,True,True,True,True,True,True,True,True,True,True,True,True,True,True,True]</t>
  </si>
  <si>
    <t>[True,True,True,True,True,False,False,False,True,True,True,True,True,True,True,True,True,True,True,True,True,True,True,True,True,False,True,True,True,True,False,True,True,True,True,True,True,True,True,True,True,True,True,True,True,True,True,True,True,True,True,False,True,True,True,True,True,True,True,True,True,True,True,True,False,False,True,True,False,True,True,True,True,True,True,False,True,True,True,False,True,True,False,True,True,True,True,False,True,True,True,False,False,True,True,True,False,True,True,True,True,True,True,True,True,True,True,False,True,True,True,True,True,True,True,True,True,True,True,False,True,True,True,True,True,True,True,True,True,True,True,True,True,True,True,True,True,True,True,True,True,True,True,True,True,True,True,True,True,True,False,False,False,True,True,True,True,True,False,True,False,True,True,True,True,True,True,True,False,True,True,False,True,True,True,True,True,True,True,True,True,True,True,True,True,True,False,True,True,True,False,True,True,True,True,True,True,True,True,True]</t>
  </si>
  <si>
    <t>BimanualPutRedBellPepperInBin</t>
  </si>
  <si>
    <t>[True,True,False,True,False,True,False,True,False,False,True,True,True,True,False,True,True,True,True,True,True,True,True,True,True,True,False,True,True,False,True,True,True,True,True,True,True,True,False,True,True,True,True,True,True,False,True,True,True,True,True,True,True,False,True,True,True,True,True,True,True,True,True,True,True,True,True,True,True,True,False,True,True,True,False,True,True,True,True,False,True,True,True,True,True,False,False,False,True,False,True,True,False,True,True,False,True,True,True,True,False,True,True,True,True,False,True,True,True,True,True,True,True,True,False,True,True,True,True,True,True,True,True,False,True,True,True,True,True,True,True,True,True,True,True,True,True,True,True,True,True,True,True,True,True,True,True,True,True,True,True,True,True,True,True,False,True,True,True,True,True,True,True,True,True,True,True,False,True,True,True,True,True,True,True,True,True,True,True,False,True,True,True,True,False,True,False,True,False,True,True,True,False,False,True,False,True,True,True]</t>
  </si>
  <si>
    <t>[True,False,True,True,True,True,False,True,True,True,True,True,True,True,False,True,True,True,True,True,True,True,True,True,True,True,True,True,True,True,True,False,True,True,True,False,True,True,False,True,True,False,True,True,False,True,True,True,True,True,True,True,True,True,True,True,True,True,False,True,True,True,True,True,True,True,True,False,True,True,True,True,True,True,False,True,True,True,True,False,True,True,True,True,True,True,False,True,True,True,True,True,True,True,True,True,False,True,True,True,False,False,True,True,True,True,False,True,True,True,True,True,True,True,True,True,True,True,True,True,False,True,True,True,False,False,True,True,True,True,True,True,True,False,True,True,False,True,True,False,True,True,True,True,True,True,False,True,True,True,True,False,True,False,True,True,False,True,True,True,True,True,True,True,True,True,True,True,True,True,True,False,False,True,True,False,True,True,False,True,True,True,False,True,False,True,True,True,True,True,True,True,True,True,False,True,True,True,True,True]</t>
  </si>
  <si>
    <t>[True,True,True,True,True,True,False,True,True,True,True,False,True,True,True,True,True,True,True,True,True,True,True,True,True,True,False,True,True,True,True,True,True,True,True,True,False,True,False,False,True,True,True,False,False,True,True,True,True,True,True,True,True,True,False,True,True,True,True,True,True,True,True,True,True,True,True,True,True,True,True,True,True,True,True,True,True,True,True,True,True,False,True,True,True,True,True,True,True,True,True,True,True,True,True,True,True,True,True,True,True,True,True,True,True,True,True,True,False,True,True,True,True,True,True,True,False,True,True,True,True,True,False,True,False,True,True,True,True,True,True,True,True,True,True,True,True,False,True,True,True,True,True,True,True,True,True,True,True,True,True,True,False,True,True,True,True,True,True,True,True,False,True,True,False,True,True,True,True,True,True,True,True,True,True,True,True,True,True,True,True,True,True,True,True]</t>
  </si>
  <si>
    <t>BimanualPutSpatulaOnPlateFromDryingRack</t>
  </si>
  <si>
    <t>[False,True,False,False,True,False,True,False,True,True,False,True,True,False,True,True,True,False,True,True,True,True,True,True,True,True,False,False,True,True,True,False,True,True,True,True,True,True,True,False,True,True,False,True,True,True,True,True,True,False,False,True,True,True,True,True,True,False,False,True,False,True,False,True,True,False,True,False,True,False,True,True,True,False,True,False,True,True,True,True,False,False,True,False,False,True,True,True,True,False,False,True,False,False,True,True,False,True,True,True,True,True,True,True,False,True,False,True,False,False,False,True,True,False,True,True,True,False,True,True,True,False,False,False,False,True,True,True,True,False,True,True,True,False,True,False,True,False,True,True,True,True,True,True,True,False,False,True,True,True,False,True,True,True,True,False,True,True,False,True,False,True,False,False,False,False,True,True,False,False,True,True,False,True,True,True,True,True,False,False,False,True,True,True,False,True,True,True,True,True,False,True,True,True,True,False,True,False,True,False]</t>
  </si>
  <si>
    <t>[True,True,True,True,True,True,False,False,True,True,True,True,True,True,True,True,True,True,True,True,True,True,False,True,True,True,True,True,True,True,True,True,True,True,True,False,True,True,False,True,True,True,False,True,True,True,True,True,True,True,True,True,True,True,True,True,True,False,False,False,False,True,True,True,True,True,False,True,True,False,True,True,True,True,True,False,False,False,True,True,True,False,False,True,False,True,True,True,True,True,True,False,False,True,True,True,True,True,True,True,True,False,True,True,True,False,True,True,False,True,True,True,True,True,True,True,True,True,True,True,True,True,False,False,False,True,True,True,True,False,True,True,True,False,True,True,True,True,True,True,True,True,True,True,False,True,True,True,True,True,True,True,True,True,True,True,True,True,True,True,True,True,True,False,True,True,True,True,True,True,False,True,False,True,True,True,True,False,True,True,True,True,True,True,True,True,True,True,True,False,True,False,True,True,True,True,False,True,True]</t>
  </si>
  <si>
    <t>[True,True,False,True,True,True,True,True,True,True,True,False,True,True,True,True,True,True,True,True,False,True,True,False,True,True,True,True,True,True,True,True,True,True,True,True,True,True,False,True,True,True,True,False,True,True,False,True,True,True,True,True,True,True,True,True,True,False,True,True,False,True,True,True,True,False,True,False,True,True,True,True,True,True,True,True,True,True,True,True,True,True,True,False,True,False,True,True,True,True,True,True,True,False,True,True,True,True,True,True,True,True,False,True,True,True,True,True,True,True,True,True,True,False,False,True,True,True,True,True,True,True,True,True,True,False,True,True,True,True,True,True,True,True,True,False,True,True,True,True,False,True,True,True,True,True,True,True,True,True,True,True,True,True,True,False,True,True,True,True,True,True,True,True,False,True,True,True,True,True,True,True,False,True,True,True,True,True,True,True,True,True,True,True,True,True,True,True,True,True,False,True,True,True,True,True,True,False,True,False]</t>
  </si>
  <si>
    <t>BimanualPutSpatulaOnPlateFromTable</t>
  </si>
  <si>
    <t>[True,True,False,True,True,False,True,True,True,True,False,False,True,True,True,False,True,False,True,False,True,True,False,True,False,False,True,False,False,True,True,True,False,True,True,True,True,True,False,False,True,True,True,True,True,False,False,False,True,False,False,False,False,False,False,False,True,True,False,True,False,False,True,False,False,True,True,False,False,False,True,False,True,False,False,False,False,True,True,False,False,True,False,False,True,True,True,False,False,True,True,False,False,False,True,True,True,False,True,False,False,True,False,False,True,True,False,False,False,True,True,True,False,True,True,True,True,True,True,True,True,False,True,True,True,True,True,False,True,False,False,False,False,True,False,True,True,False,True,True,False,False,False,True,True,True,True,False,True,True,False,False,False,True,False,False,True,True,True,False,True,True,True,False,True,True,False,True,True,False,False,False,False,False,True,True,False,True,True,False,True,True,False,True,False,True,False,False,True,True,False,False,True,True,True,False,True,True,False,True]</t>
  </si>
  <si>
    <t>[True,True,True,True,False,True,True,True,True,True,False,True,True,True,True,True,False,True,True,False,True,True,True,True,True,False,True,False,True,True,True,True,True,True,True,True,True,True,True,True,True,True,False,True,True,False,False,True,True,True,True,True,True,True,False,True,True,True,True,True,True,True,True,True,True,True,True,True,True,False,True,True,False,True,False,False,True,True,True,True,True,True,True,True,False,False,False,False,True,True,False,False,True,True,True,True,True,False,True,True,True,True,False,True,True,True,False,True,True,True,True,True,True,True,True,True,True,True,True,True,True,True,True,False,True,True,True,False,True,True,True,True,True,True,True,True,True,True,True,True,True,True,False,True,True,True,True,True,False,True,True,True,False,True,False,True,True,True,True,True,True,False,True,True,True,True,True,True,True,True,True,False,True,False,True,False,True,True,True,True,False,True,True,True,True,True,True,True,True,True,True,False,True,False,True,True,True,True,True,True]</t>
  </si>
  <si>
    <t>[True,True,True,True,False,True,True,True,False,True,True,True,True,True,False,True,True,True,True,False,True,True,True,True,True,True,False,False,True,True,True,True,True,True,True,True,True,True,True,True,False,True,True,True,True,True,True,True,True,True,True,True,True,True,True,True,True,True,True,True,True,True,True,True,True,True,True,True,True,False,True,True,True,True,False,False,True,True,True,True,True,True,True,True,True,True,True,True,True,True,True,True,True,False,True,True,True,False,True,True,False,True,False,True,True,True,False,True,True,True,True,True,True,True,True,True,False,True,True,True,True,True,True,True,True,True,True,True,True,True,True,True,True,True,True,True,False,True,True,False,True,True,False,True,True,True,True,True,False,True,True,True,True,True,True,True,False,False,True,True,True,True,True,True,True,True,True,True,True,False,True,True,True,True,True,False,False,True,False,True,True,False,True,True,True,True,True,True,True,False,True,False,True,False,True,True,True,True,True,True]</t>
  </si>
  <si>
    <t>BimanualStackPlatesOnTableFromDryingRack</t>
  </si>
  <si>
    <t>[True,True,True,True,True,True,True,True,True,True,True,True,True,True,True,False,True,True,True,True,True,True,True,True,True,True,True,True,True,True,True,True,True,True,True,True,True,False,True,True,True,True,True,True,True,True,True,True,True,True,True,True,True,True,True,True,True,True,True,True,True,True,False,True,True,False,True,True,True,True,True,True,True,True,True,True,True,True,True,True,True,True,True,True,True,True,False,True,True,True,True,True,True,True,True,True,True,True,True,True,True,True,True,True,True,True,True,True,True,True,True,True,True,True,True,True,True,True,False,True,True,True,True,True,True,False,False,True,True,False,True,True,True,True,True,True,True,True,True,True,True,False,True,True,True,True,True,True,True,True,True,True,True,True,True,True,True,True,True,True,True,True,True,True,True,True,True,True,True,True,False,True,True,True,True,True,True,True,True,True,True,True,True,True,True,True,True,True,True,True,True,True,True,True,True,True,True,True,True,True]'</t>
  </si>
  <si>
    <t>[True,True,True,True,True,True,True,True,False,True,True,True,True,False,True,True,True,False,True,True,True,True,True,False,True,True,True,True,True,True,True,True,True,True,True,True,True,True,True,False,False,True,True,True,True,True,True,True,True,False,True,False,True,True,True,True,True,True,True,True,True,True,True,False,True,True,True,True,True,True,True,True,True,True,True,True,False,True,True,True,True,False,True,True,True,True,False,True,True,True,True,True,True,True,True,True,True,True,True,True,True,True,True,False,True,True,True,True,True,True,True,True,True,True,True,True,True,False,True,True,True,True,True,True,True,True,True,True,True,True,True,True,True,True,True,True,True,True,True,True,False,True,True,True,True,True,True,True,True,True,True,True,True,True,True,True,True,True,True,True,True,True,True,True,True,True,False,True,False,True,False,True,False,True,True,False,True,True,True,True,True,True,True,False,True,True,True,False,True,True,True,False,True,True,True,True,False,True,True]</t>
  </si>
  <si>
    <t>[True,True,True,True,True,True,True,True,True,True,True,True,True,True,False,True,True,True,True,True,True,True,True,True,True,True,True,False,True,True,True,True,False,True,True,True,True,True,True,True,False,True,True,True,True,True,True,True,True,True,True,True,True,True,True,True,True,True,True,True,True,True,True,True,True,True,True,True,False,True,True,True,True,True,True,True,True,True,True,True,True,True,True,True,False,True,True,False,True,True,True,True,True,True,True,True,True,True,True,True,False,True,True,True,True,True,True,True,True,True,True,True,True,True,True,True,True,True,True,True,True,True,True,True,True,True,True,True,True,True,True,True,True,True,True,True,True,True,True,True,True,True,True,True,True,True,True,True,True,True,True,True,True,True,True,False,False,True,True,True,True,True,True,True,True,True,True,True,True,True,True,True,False,False,True,True,True,True,True,True,True,True,True,True,True,True,True,True,False,True,True,True,True,True,True,True,True,True,True,True]</t>
  </si>
  <si>
    <t>BimanualStoreCerealBoxUnderShelf</t>
  </si>
  <si>
    <t>[True,True,True,True,True,True,True,False,True,True,True,True,True,True,True,True,True,True,False,False,True,True,True,True,True,False,False,True,True,True,False,True,True,True,True,True,True,True,True,True,True,False,True,True,True,True,True,True,True,True,True,False,True,True,False,True,True,True,True,True,True,False,False,True,False,True,True,True,False,True,True,True,True,True,True,False,False,False,True,True,True,True,True,True,False,True,True,False,True,True,True,True,True,True,True,True,True,False,True,True,True,False,False,True,False,True,True,True,True,True,True,False,True,True,True,True,True,True,True,False,True,True,True,False,True,False,True,True,True,True,False,True,True,True,False,True,False,False,True,True,True,True,True,False,False,True,False,True,True,True,True,True,True,False,True,True,False,True,True,True,True,False,True,True,True,True,False,True,False,True,True,True,True,True,True,True,True,True,True,False,True,True,True,True,True,True,True,True,True,True,True,True,True,True,True,True,False,True,True]</t>
  </si>
  <si>
    <t>ab</t>
  </si>
  <si>
    <t>[False,True,False,True,True,True,False,True,True,False,True,True,True,True,True,True,True,False,True,False,False,True,True,True,True,True,False,False,True,True,True,True,False,True,True,True,True,False,True,True,False,False,True,False,True,False,True,True,True,True,True,True,True,False,True,True,False,True,True,False,True,True,True,True,True,False,True,True,False,True,True,True,True,True,True,True,False,False,True,True,True,True,True,True,True,True,True,True,True,True,False,True,False,True,True,True,True,True,True,True,True,True,False,True,True,False,False,True,False,True,True,True,True,True,True,True,True,True,True,True,False,False,True,True,True,False,False,True,True,True,False,True,True,True,True,True,False,True,True,True,True,False,True,True,True,True,True,True,True,True,True,True,True,True,True,False,True,True,False,True,True,True,False,False,True,False,True,True,True,False,False,True,True,True,True,True,True,False,True,True,False,True,True,True,True,True,True,False,False,True,False,True,False,True,True,True,False,True,True,True]</t>
  </si>
  <si>
    <t>[True,True,True,True,True,True,True,True,True,False,True,True,True,True,True,True,True,True,True,True,True,True,False,True,True,True,True,True,True,True,False,False,True,False,True,True,True,True,True,True,True,True,True,True,True,False,True,False,True,True,True,True,True,True,True,True,True,True,False,True,True,True,True,True,True,True,True,True,False,True,True,False,True,False,True,True,True,True,True,True,True,True,True,True,True,True,True,False,True,True,True,True,True,True,True,False,True,True,True,True,True,True,True,True,True,False,False,True,False,True,True,True,True,True,True,True,True,True,True,True,True,True,True,True,True,True,True,True,True,True,True,False,True,True,True,True,True,True,False,True,True,True,True,True,True,False,True,True,True,True,True,True,True,True,True,True,True,True,True,True,True,True,True,False,True,True,True,True,True,True,True,True,True,True,True,True,True,True,True,True,True,True,True,True,True,True,True,True,False,True,True,True,True,True,True,True,True,False,True,True]</t>
  </si>
  <si>
    <t>PlaceCupByCoaster</t>
  </si>
  <si>
    <t>[True,False,True,True,False,False,True,False,False,False,False,False,False,False,False,False,True,True,True,True,False,False,True,True,True,False,False,True,True,True,False,False,False,False,True,False,True,False,True,True,False,True,True,True,True,False,False,True,True,True,False,True,False,False,False,True,True,True,False,True,True,False,True,False,False,False,True,False,False,True,True,True,False,False,False,False,False,True,False,False,False,False,False,True,True,False,False,False,False,True,False,True,False,True,True,True,False,False,True,True,True,False,True,True,True,False,False,False,False,True,True,True,True,False,True,True,True,True,True,False,False,False,True,False,True,False,False,False,False,False,True,True,True,False,True,True,True,True,True,False,True,True,True,True,True,False,False,False,False,True,True,True,True,True,True,False,True,False,False,False,True,False,True,True,False,True,True,True,False,False,False,False,False,True,True,False,True,True,False,False,False,False,False,True,False,False,True,True,True,False,True,False,False,True,True,False,False,False,True,True]</t>
  </si>
  <si>
    <t>[False,False,False,False,False,True,True,True,False,False,False,True,False,False,True,False,True,False,True,True,False,False,False,True,False,False,False,True,True,False,True,False,False,True,False,True,True,False,True,True,False,True,True,True,True,True,True,False,True,True,False,True,False,False,True,True,True,False,True,True,True,False,True,False,True,True,False,True,False,False,True,False,True,False,False,True,True,False,True,False,False,False,False,True,False,True,True,False,False,True,False,False,False,False,False,True,True,True,True,True,False,False,False,True,False,False,True,False,True,True,False,True,True,True,True,False,True,True,False,False,False,True,True,False,True,False,True,False,False,True,False,False,False,False,True,False,True,True,False,False,True,True,True,True,False,False,False,True,True,True,True,True,False,False,True,True,True,True,False,True,True,False,True,False,False,True,False,False,True,True,True,True,True,True,True,False,False,False,False,False,False,True,True,True,True,False,True,True,True,False,True,False,True,False,True,False,True,False,False,True]</t>
  </si>
  <si>
    <t>[True,False,False,False,False,False,True,True,False,False,True,False,True,False,False,False,True,True,True,True,True,False,True,True,False,True,True,True,True,True,True,False,False,False,True,False,False,False,True,True,False,True,True,True,True,False,False,False,True,True,True,True,False,True,True,False,True,False,True,True,True,False,True,False,False,True,False,False,False,False,True,True,True,False,True,False,False,True,True,False,True,False,False,True,False,False,True,False,False,False,False,False,True,False,True,True,False,True,True,False,True,False,False,True,True,False,True,False,True,True,False,True,False,True,False,True,True,True,True,True,False,True,False,False,True,False,True,False,False,False,True,False,True,True,True,False,True,True,False,False,True,True,True,True,False,False,False,False,True,True,True,True,False,True,False,True,True,True,False,False,True,False,True,False,True,True,False,True,True,False,False,False,True,True,True,True,True,False,False,False,True,True,True,False,True,False,True,True,True,False,True,True,True,False,False,False,False,False,True,True]</t>
  </si>
  <si>
    <t>PushCoasterToCenterOfTable</t>
  </si>
  <si>
    <t>[True,False,True,True,True,True,False,True,True,False,False,True,False,True,True,True,True,True,True,False,True,False,False,True,True,True,True,True,False,False,True,False,True,False,True,False,False,True,True,False,True,False,False,True,True,True,True,True,True,True,True,True,True,True,True,True,True,True,True,True,True,True,False,True,True,True,True,True,True,False,True,True,False,True,False,True,False,True,True,True,False,False,True,True,True,True,True,True,True,False,True,True,True,True,False,True,True,True,True,True,True,False,True,True,True,True,False,True,True,False,True,True,True,False,True,True,True,True,False,False,False,True,True,True,False,True,True,True,False,False,True,True,True,True,True,True,False,True,False,True,True,True,False,False,True,True,True,False,False,True,True,False,True,False,True,False,True,True,True,True,True,False,True,True,True,True,True,True,True,False,True,True,True,True,False,True,False,True,False,True,True,True,True,True,False,True,True,True,True,False,True,True,False,True,False,True,True,True,True,False]</t>
  </si>
  <si>
    <t>[True,False,True,False,True,True,False,True,True,False,False,True,False,False,True,True,True,False,True,False,False,False,False,False,True,True,False,False,False,False,False,False,True,False,True,False,True,True,True,False,False,False,True,False,True,True,True,False,True,True,False,True,False,True,True,True,True,True,True,False,False,True,False,True,False,True,True,False,True,False,True,True,True,True,False,False,False,False,True,True,False,False,True,True,True,True,True,True,False,True,True,True,True,True,True,True,True,True,True,False,True,True,False,True,False,False,True,True,True,False,True,True,False,False,False,True,True,True,False,False,False,False,True,True,True,True,True,True,True,False,False,True,True,False,True,True,False,False,True,False,True,True,True,False,True,False,False,True,False,False,True,False,True,True,True,False,False,True,True,True,True,False,True,False,False,True,True,True,False,False,True,True,True,True,True,True,False,True,False,True,True,False,False,False,False,False,False,True,True,False,True,True,False,True,True,True,True,False,False,False]</t>
  </si>
  <si>
    <t>[True,True,True,True,True,True,False,True,True,True,True,False,False,False,True,True,True,True,True,True,True,True,False,False,False,True,True,True,False,True,True,True,True,False,True,False,True,True,True,True,False,False,False,False,True,True,True,True,True,True,True,True,True,True,True,True,True,True,True,False,False,True,False,True,False,True,True,False,True,False,True,True,False,True,False,False,False,False,True,True,True,False,True,True,True,True,True,True,False,True,True,True,True,True,True,False,True,True,True,False,True,False,True,True,True,True,True,True,True,False,True,True,False,False,True,True,True,True,False,False,False,False,True,True,False,True,False,True,True,False,True,True,True,False,True,True,True,True,True,True,True,True,True,False,True,False,True,True,False,False,True,True,False,False,True,True,True,True,False,True,True,True,True,False,False,True,True,True,False,False,True,True,True,True,False,True,True,True,False,True,True,False,False,False,True,True,False,True,True,False,True,True,False,True,True,True,True,True,True,True]</t>
  </si>
  <si>
    <t>[False,False,False,False,False,False,True,False,False,False,False,False,False,False,False,False,False,False,False,False,False,False,False,True,False,False,False,False,False,True,False,False,False,False,False,False,False,True,False,True,False,False,False,False,False,False,False,False,True,False,False,False,False,False,True,False,False,False,False,False,False,False,False,False,True,False,False,True,False,False,True,False,False,False,False,False,False,False,False,False,False,False,False,False,False,False,False,False,True,False,False,True,False,False,True,False,False,False,False,False,False,True,True,False,True,False,True,False,False,False,True,False,False,True,True,False,True,False,True,False,True,False,False,True,False,False,False,False,False,False,False,False,False,False,False,False,False,False,False,False,False,False,False,False,True,False,False,False,False,False,False,False,False,False,False,False,False,False,True,False,False,False,False,False,False,False,True,False,False,True,False,False,False,False,False,True,False,False,False,False,False,True,False,False,False,False,False,False,False,False,True,False,False,False,True,False,False,False,False]</t>
  </si>
  <si>
    <t>[False,False,False,False,False,False,True,False,False,False,False,False,False,False,False,False,True,False,False,True,False,False,True,False,False,False,False,False,False,True,False,False,False,False,False,False,False,False,False,True,False,False,False,False,False,False,True,False,False,True,False,False,False,False,False,False,False,False,False,False,False,True,False,False,False,True,False,False,False,False,False,False,False,False,True,False,True,False,True,False,False,False,False,False,False,False,False,False,False,False,False,False,False,False,False,False,True,True,False,False,False,True,False,False,False,False,False,True,False,True,False,False,False,False,False,False,True,False,True,True,False,False,False,False,True,True,False,False,False,False,False,False,False,False,False,False,False,True,True,False,False,False,False,False,False,True,False,False,False,False,False,False,False,False,False,False,False,False,False,False,False,True,False,True,False,False,False,False,False,False,False,False,True,False,True,False,False,False,False,False,True,False,False,False,True,False,False,False,False,True,True,False,False,False,False,False,False,True,True]</t>
  </si>
  <si>
    <t>[True,False,False,True,False,False,True,False,False,False,False,False,False,False,True,True,True,False,False,False,False,False,True,True,True,False,False,False,True,True,False,False,False,False,False,False,False,False,False,True,False,False,True,True,False,False,True,True,True,True,False,False,False,False,False,False,False,False,False,False,False,False,False,True,False,False,False,False,False,False,True,True,False,False,False,True,True,False,False,False,False,False,False,False,True,False,False,False,False,True,True,False,False,False,False,True,False,True,True,False,False,False,True,True,False,False,False,True,False,False,False,False,False,False,False,False,False,True,True,False,True,False,True,False,False,False,True,False,False,False,False,False,False,False,False,False,False,False,True,False,True,True,True,False,True,False,True,False,False,False,False,False,False,False,False,False,False,False,False,True,True,False,False,False,False,False,True,False,False,False,False,False,False,False,True,False,True,False,False,False,False,True,False,False,False,True,False,False,True,False,True,True,False,False,False,True,False,False,True,False]</t>
  </si>
  <si>
    <t>PutBananaOnSaucer</t>
  </si>
  <si>
    <t>[False,False,False,False,False,False,False,False,False,False,False,False,True,False,False,False,False,False,True,False,False,False,False,False,True,False,False,True,True,False,False,False,True,False,False,False,False,False,False,False,False,True,True,False,False,False,False,True,False,False,True,False,False,False,False,False,False,False,False,True,False,False,False,False,False,True,False,False,False,False,True,False,False,True,False,False,False,False,True,True,False,False,False,False,False,False,False,False,False,False,False,True,False,False,False,False,False,True,True,True,False,False,False,False,False,False,False,False,False,False,False,False,False,False,False,False,False,False,False,True,False,False,False,True,True,False,False,False,False,False,True,False,True,True,True,True,False,True,False,False,False,False,False,False,False,False,False,False,True,False,False,False,False,False,True,False,False,False,False,False,False,False,True,True,False,False,True,False,False,False,False,True,False,False,False,True,False,False,False,False,False,False,False,True,False,False,False,False,False,True,False,False,False,False,True,False,False,False,False,False]</t>
  </si>
  <si>
    <t>[False,False,False,False,Fals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True,False,False,False,False,False,False,False,False,False,Tru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True,False,False,True,False,False,False,False,False,False,False,False,True,False,False,False,False,False,False,False,False,False,False,False,False,False,False,False,False,False,False,False,False,False,False,False,False,False,False,False,False,False,False,False,False,False,False,False]</t>
  </si>
  <si>
    <t>[False,False,False,False,False,False,False,False,False,False,False,False,True,False,False,False,False,True,True,False,False,False,False,False,False,True,False,False,False,False,False,True,False,False,True,False,True,False,False,False,False,False,False,False,False,False,True,False,False,False,False,False,False,False,False,False,False,True,False,False,False,False,False,False,False,False,False,False,False,False,True,True,False,False,False,False,False,True,False,True,True,False,False,False,False,False,False,False,False,True,False,False,False,False,False,False,False,False,False,False,True,False,False,False,True,True,False,False,False,False,False,False,True,False,True,False,False,False,False,False,False,False,False,True,False,False,False,False,False,False,True,False,False,False,False,False,True,False,False,False,False,False,False,False,True,False,False,False,False,False,False,False,True,False,False,True,False,False,False,False,False,False,True,True,False,False,False,False,False,True,False,False,False,True,False,False,False,False,False,False,False,False,False,False,False,True,True,False,True,False,False,False,False,False,False,False,False,False,False,False]</t>
  </si>
  <si>
    <t>[True,False,False,True,True,False,False,False,False,False,False,False,False,False,True,False,False,False,False,False,True,False,True,False,False,False,False,False,False,False,False,False,False,False,False,False,False,False,False,False,False,True,False,False,False,False,False,False,False,False,False,True,False,False,False,False,False,False,False,False,False,False,False,False,False,False,False,False,False,False,False,True,False,False,False,False,False,False,False,False,False,False,False,False,False,False,False,True,False,False,False,False,False,False,False,False,False,False,False,False,False,False,False,False,False,False,False,False,False,False,True,False,False,False,False,False,False,False,False,False,False,False,False,True,False,False,True,True,False,True,True,False,False,False,True,False,False,False,False,False,False,False,False,False,True,False,False,False,False,False,False,False,False,False,False,False,False,False,False,False,False,False,False,True,False,False,False,False,False,False,True,False,False,False,False,False,False,True,True,False,False,False,True,False,False,False,False,True,False,True,False,False,True,False,False,False,False,True,False,False]</t>
  </si>
  <si>
    <t>[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]</t>
  </si>
  <si>
    <t>[False,False,False,False,False,False,False,False,True,False,True,False,False,Tru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True,False,False,False,False,False,False,False,False,False,False,True,False,False,False,False,False,False,False,False,False,False,False,True,False,False,False,False,False,False,True,False,False,False,False,False,False,False,False,False,False,False,True,False,False,False,False,False,False,False,False,False,False,False,False,False,False,False,False,False,False,False,False,False,False,False,False,False,True,True,True,False,False,False,False,False,False,False,False,True,False,False,False,False,False,False,False,False,False,False,False,False,False,False,False,False,False,False,False,False,False,False,True,False,False,False,False,False,False,False,False,False,False,True,False,False,True,False,False,False,False,False,True,False,False]</t>
  </si>
  <si>
    <t>PutMugOnSaucer</t>
  </si>
  <si>
    <t>[True,True,True,False,False,True,True,True,True,True,False,True,False,False,False,True,False,False,True,True,False,True,True,True,True,True,False,False,True,True,True,False,True,True,False,False,True,False,True,False,False,True,True,False,True,False,True,True,True,False,True,False,True,False,True,False,False,False,False,False,False,True,True,True,False,True,True,False,False,True,True,True,False,False,True,True,True,True,False,False,True,False,True,False,True,False,True,False,False,False,False,False,True,True,False,True,False,True,True,True,True,False,False,False,True,False,False,True,True,False,True,False,True,False,True,False,True,True,True,True,True,True,False,True,True,True,False,False,False,False,False,False,False,True,True,False,True,False,False,False,True,True,False,False,True,False,True,False,True,False,True,False,True,True,False,True,True,False,False,True,True,False,False,False,True,True,True,True,True,False,True,True,False,True,True,True,True,False,True,False,False,True,False,False,True,False,True,False,True,False,True,True,False,False,True,True,False,True,False,False]</t>
  </si>
  <si>
    <t>[True,True,True,True,False,True,True,True,True,False,False,True,True,False,False,False,True,True,True,False,False,True,False,False,True,True,False,True,False,False,True,True,True,True,True,False,True,False,False,True,False,True,True,True,True,True,False,True,True,False,False,False,False,False,True,False,True,True,True,True,True,True,True,True,True,False,True,False,True,False,True,False,True,True,False,True,False,True,False,True,False,True,False,True,True,True,False,True,True,True,True,False,False,False,True,False,True,True,True,True,True,True,True,False,False,True,False,True,False,True,True,True,True,False,False,False,True,True,True,True,False,True,True,False,True,True,False,False,True,False,False,False,False,True,True,False,True,False,True,False,True,True,False,False,False,True,True,False,True,True,True,True,True,False,False,True,True,False,False,True,True,True,True,True,True,True,False,True,True,False,False,False,False,True,False,True,False,True,False,False,True,True,False,True,True,False,True,False,True,True,True,False,True,False,False,False,True,True,False,True]</t>
  </si>
  <si>
    <t>[False,True,True,True,True,True,True,True,True,True,False,True,False,True,False,False,True,True,True,False,False,True,False,True,True,True,False,True,True,True,True,False,False,False,False,False,True,True,False,True,True,False,False,True,True,False,False,False,True,True,True,False,False,True,True,False,True,True,True,True,False,True,True,True,False,True,True,False,True,False,True,True,True,True,False,True,False,True,True,True,False,True,True,True,False,True,True,True,True,True,True,False,True,True,True,False,True,False,True,True,True,True,False,True,False,False,True,False,False,False,False,False,True,False,True,True,False,True,True,True,True,True,True,False,True,True,False,False,True,True,True,False,False,True,True,True,True,False,True,True,True,False,False,False,True,False,True,True,True,True,True,True,False,True,True,True,False,False,True,True,False,True,False,False,False,True,True,True,True,False,False,False,False,True,True,True,False,True,False,True,False,True,False,True,False,False,True,False,True,True,True,False,True,False,True,True,True,False,True,False]</t>
  </si>
  <si>
    <t>PutSpatulaInUtensilCrock</t>
  </si>
  <si>
    <t>[True,True,True,True,False,False,True,False,True,True,True,True,True,True,True,True,True,True,True,False,True,True,True,True,True,True,True,False,True,False,True,False,True,True,False,True,True,True,True,True,True,True,True,True,False,True,True,False,True,True,True,True,False,True,True,True,True,True,True,False,True,True,True,True,True,False,False,False,True,True,True,True,True,False,True,True,False,True,True,True,True,True,True,True,True,True,True,True,True,True,False,True,False,True,True,True,True,False,True,True,False,True,True,True,True,True,True,True,True,True,False,True,True,True,True,True,False,False,True,False,False,True,True,True,True,True,True,True,True,True,True,True,True,False,False,True,True,True,True,True,False,True,True,True,False,True,True,True,True,False,True,True,True,True,True,True,True,True,True,True,True,True,False,True,False,False,False,False,False,True,True,False,False,True,True,True,True,True,False,False,True,True,True,True,True,True,True,True,True,True,True,True,True,True,True,False,False,True,False,True]</t>
  </si>
  <si>
    <t>[False,False,True,True,True,True,True,False,True,True,False,False,True,True,False,True,True,True,True,False,False,False,True,True,True,True,True,False,False,True,True,True,True,True,True,True,True,True,True,True,True,False,True,False,True,True,True,False,False,False,True,True,True,True,True,True,False,False,False,True,True,True,True,True,False,True,True,True,True,False,True,True,True,False,False,False,True,False,True,True,False,True,True,False,False,True,False,False,True,True,False,False,True,True,True,False,True,True,True,False,False,True,True,False,True,True,True,True,False,False,False,True,True,True,True,True,True,True,True,False,True,True,True,True,True,False,False,True,True,True,True,True,True,False,True,False,True,True,True,True,True,True,True,True,True,True,True,True,True,False,True,False,True,True,True,True,True,True,True,False,True,True,True,True,False,True,True,True,True,True,True,True,False,True,True,True,True,True,True,True,True,False,False,True,True,True,True,False,True,True,True,True,True,True,True,True,False,True,True,True]</t>
  </si>
  <si>
    <t>[True,True,True,True,True,True,True,True,False,True,True,True,True,True,True,False,True,False,True,True,False,True,True,True,True,True,True,True,True,False,True,False,False,True,True,True,True,True,True,True,True,True,True,True,False,True,True,False,True,True,True,True,True,True,True,True,True,True,True,True,True,False,True,True,True,True,False,True,True,True,True,True,True,True,True,True,False,True,True,True,True,True,True,True,True,True,False,True,True,True,True,True,False,True,True,True,True,True,True,True,True,True,True,True,False,True,True,True,False,True,True,True,False,True,True,True,True,False,True,False,True,True,True,False,True,True,True,False,True,True,True,True,True,True,False,True,True,False,True,True,False,True,True,True,True,True,True,True,True,False,True,True,True,False,True,False,True,True,True,True,True,False,True,True,True,True,True,True,True,True,False,True,True,True,True,True,True,True,True,True,True,True,True,True,True,True,True,True,False,True,True,True,True,True,True,True,False,True,True,True]</t>
  </si>
  <si>
    <t>TurnCupUpsideDown</t>
  </si>
  <si>
    <t>[True,False,False,False,False,True,False,True,True,False,False,True,True,True,True,True,True,True,True,True,True,True,True,False,True,True,True,True,False,True,True,True,False,False,True,True,False,True,True,True,True,True,True,True,True,True,True,True,True,True,False,False,False,False,True,True,True,True,False,True,False,False,False,True,False,True,True,True,False,True,True,True,True,True,True,True,True,False,False,True,True,False,False,True,False,True,True,True,False,True,True,True,False,True,True,True,True,False,True,False,True,False,True,True,False,False,True,True,True,True,True,True,True,True,True,True,True,True,False,True,False,True,False,True,True,True,False,True,False,False,True,True,False,False,True,False,True,False,True,False,True,False,True,True,True,False,False,True,True,True,True,True,True,False,True,False,True,True,True,True,True,True,False,True,True,False,True,False,True,False,True,False,True,True,False,False,True,False,True,True,True,False,True,False,True,True,False,True,True,False,True,False,True,True,True,True,True,True,True,True]</t>
  </si>
  <si>
    <t>[True,True,True,True,False,True,True,False,True,True,False,False,True,True,True,True,False,False,False,True,True,True,False,True,True,True,True,True,True,False,False,True,True,False,True,False,False,True,True,True,False,True,True,True,True,True,True,True,False,True,True,True,False,False,True,True,True,True,True,True,False,False,True,True,True,True,False,True,True,True,True,True,True,False,False,False,True,False,True,True,True,True,False,True,True,False,True,True,False,True,True,True,True,True,True,True,False,True,True,False,True,False,True,False,True,True,True,True,True,True,False,True,True,True,True,False,True,True,True,True,False,True,True,False,True,False,False,False,True,False,True,True,True,True,True,True,True,True,True,False,True,False,True,True,True,False,True,False,True,True,True,True,False,False,True,False,True,True,True,False,True,True,True,True,True,False,True,False,True,True,True,False,False,True,True,True,True,False,False,True,False,False,True,True,True,False,True,True,True,True,False,True,False,True,True,True,True,False,True,True]</t>
  </si>
  <si>
    <t>[True,False,False,False,False,False,False,True,True,True,False,False,False,False,False,False,False,False,False,True,False,False,False,False,False,True,False,False,False,True,False,False,False,False,True,False,False,True,True,True,False,True,False,False,False,True,False,True,False,False,True,True,False,False,True,False,True,True,False,True,False,False,True,True,False,False,False,True,False,True,True,False,False,False,False,False,True,False,True,False,True,True,False,True,False,False,False,True,True,True,False,True,False,False,False,False,False,True,True,False,False,False,False,False,False,True,False,False,False,True,True,True,False,False,True,False,True,True,True,False,False,True,False,False,True,False,False,False,False,False,False,False,False,True,False,False,False,True,False,False,True,False,True,False,False,False,False,False,True,False,False,True,False,False,True,False,False,False,False,False,True,True,False,True,False,False,True,False,True,True,True,False,False,False,True,True,False,False,False,False,False,False,False,False,True,False,False,False,False,False,False,False,False,False,False,True,True,True,True,False]</t>
  </si>
  <si>
    <t>[False,False,True,True,False,True,True,True,True,True,False,False,False,True,False,False,False,False,False,True,False,True,False,False,False,True,False,False,False,False,False,True,False,False,True,True,False,False,True,False,True,True,False,False,False,False,True,False,False,False,False,True,True,False,False,False,False,False,True,False,False,False,False,True,True,True,True,True,True,False,True,False,True,True,False,False,True,False,False,True,False,False,True,False,True,False,True,False,True,False,True,False,False,True,False,False,True,False,False,True,True,True,False,True,True,False,True,False,False,True,False,True,False,False,False,False,True,False,False,False,True,False,True,False,False,True,False,False,True,True,False,False,False,False,True,True,False,False,True,False,False,True,False,False,False,True,False,False,False,False,True,True,False,False,False,True,True,False,False,False,False,False,True,False,True,False,False,True,True,False,False,False,False,False,True,False,False,True,False,False,False,False,False,True,False,False,False,False,True,True,True,True,False,False,False,True,False,False,False,True]</t>
  </si>
  <si>
    <t>[False,True,False,True,True,True,True,True,False,False,False,False,True,True,True,False,False,False,False,True,True,True,False,True,False,True,False,True,False,False,True,False,False,False,True,True,False,False,False,True,True,False,False,False,False,False,False,True,True,False,True,False,False,True,False,False,False,True,True,False,False,False,False,False,True,True,True,False,True,False,True,True,True,True,False,True,True,True,True,True,False,False,True,True,False,True,False,True,True,True,True,False,False,False,True,False,False,False,True,True,True,True,True,True,False,False,True,False,False,True,True,True,False,False,False,False,False,False,True,True,True,False,False,False,False,True,False,True,True,False,False,False,False,False,False,True,False,False,True,False,False,True,True,True,True,False,True,True,True,True,False,True,True,False,False,True,False,False,False,False,True,False,False,False,True,True,True,True,True,False,False,True,False,False,False,True,False,True,False,False,False,False,True,True,False,False,True,False,True,True,True,True,True,False,False,True,False,True,True,True]</t>
  </si>
  <si>
    <t>[False,False,True,True,False,False,True,False,True,False,False,False,True,True,False,False,False,True,True,True,False,True,False,True,True,False,False,True,False,False,True,True,False,False,False,True,False,True,False,True,False,True,False,True,True,False,False,True,True,False,False,False,True,True,True,True,False,True,True,True,False,False,False,True,False,True,True,False,True,False,True,True,True,False,False,True,False,True,True,False,False,False,False,True,False,False,False,True,True,False,True,True,False,False,False,False,True,False,True,True,True,True,False,False,False,False,True,False,True,False,False,False,True,False,True,True,False,False,False,True,True,True,False,False,False,True,False,True,False,True,False,False,False,True,True,False,False,False,True,False,False,True,False,True,True,False,True,False,True,True,False,False,True,False,True,True,False,False,False,False,True,True,True,False,False,True,True,True,True,False,False,True,True,False,False,True,False,False,False,False,False,False,False,True,False,True,False,True,False,True,True,True,True,False,False,False,False,True,True,True]</t>
  </si>
  <si>
    <t>Aggregate - Simulation</t>
  </si>
  <si>
    <t>[True,False,True,True,True,True,False,True,True,True,False,True,False,True,True,False,False,False,False,True,False,False,True,False,False,False,True,False,False,True,False,True,True,True,True,True,False,True,True,False,True,True,False,True,True,False,False,False,True,True,True,True,True,False,True,False,True,True,False,False,True,False,True,True,True,True,False,True,True,True,True,False,True,False,False,False,False,True,True,True,False,True,False,True,True,False,True,True,True,True,True,True,True,True,False,False,False,False,True,False,True,False,False,False,True,False,False,True,True,True,False,True,True,False,False,True,False,True,False,False,True,False,True,False,True,False,False,True,True,False,True,False,True,True,True,True,False,False,False,True,True,True,False,False,False,True,True,True,False,False,True,False,True,False,True,False,True,False,False,True,True,False,False,False,False,True,True,False,True,True,False,True,False,False,True,False,True,True,True,False,False,False,True,False,True,True,True,True,False,True,False,False,True,False,False,True,True,True,True,True,False,False,True,False,True,True,False,True,True,True,False,True,True,True,False,True,False,False,True,True,True,False,True,True,True,True,False,True,False,True,True,True,True,True,False,True,True,False,False,False,True,True,False,True,True,False,False,True,False,True,False,True,False,False,True,False,True,True,True,True,False,True,True,True,False,False,True,True,True,False,False,False,True,False,True,False,False,False,True,True,True,True,True,True,True,True,True,False,True,True,True,False,True,True,True,True,True,True,True,False,False,False,True,True,True,False,False,True,False,True,False,True,False,True,True,True,True,True,True,True,True,True,False,False,True,False,True,True,True,True,True,True,True,True,False,True,True,True,True,True,True,True,False,True,True,True,False,False,True,True,True,False,True,True,True,True,True,True,True,False,False,False,True,False,False,False,False,True,False,True,True,False,True,True,False,False,False,False,True,False,True,False,False,True,True,True,False,True,True,True,False,False,True,False,False,True,True,True,True,False,False,True,False,False,True,True,True,True,True,True,True,True,False,True,False,True,True,True,True,True,True,True,True,True,False,True,True,True,False,True,False,True,True,False,True,False,True,True,False,False,True,True,False,True,True,True,False,True,False,True,True,True,False,True,True,True,True,True,False,False,True,False,True,True,False,True,True,True,False,False,True,True,True,False,False,False,False,True,False,True,False,False,True,True,True,True,True,True,False,True,True,True,True,False,False,True,True,False,True,False,False,True,True,False,False,False,True,True,True,True,True,True,False,False,True,True,True,False,False,True,True,False,False,True,False,True,False,True,True,True,True,False,False,False,False,True,True,False,True,True,True,True,False,False,False,True,True,False,False,False,False,True,True,False,True,False,True,False,True,False,False,True,False,True,True,False,False,True,True,True,True,True,True,False,False,False,False,True,False,True,True,True,True,False,True,True,False,True,False,True,True,True,False,True,True,True,False,True,True,True,True,True,True,True,True,False,False,True,False,False,True,False,False,False,False,False,True,True,False,False,False,False,False,True,False,True,False,True,False,True,True,False,False,True,True,True,False,False,True,True,True,False,True,False,True,False,True,False,False,False,True,True,True,True,False,True,False,False,True,False,True,False,True,True,True,False,False,True,False,False,True,False,True,True,True,True,True,True,True,True,True,False,True,True,True,True,True,False,True,False,True,True,False,False,False,True,False,True,True,True,True,False,True,True,False,True,True,True,True,True,True,True,True,True,False,True,True,True,True,False,False,False,True,True,True,False,True,True,False,True,True,False,True,False,False,False,False,False,True,True,True,False,False,True,False,True,True,False,True,True,True,False,False,True,True,False,False,True,False,True,False,False,True,True,True,True,True,False,True,False,True,False,True,True,True,True,True,False,True,False,False,True,True,False,False,True,False,True,True,True,False,True,True,True,False,True,False,True,False,True,True,True,False,False,False,False,False,False,False,True,False,True,False,True,True,False,False,True,False,True,False,False,False,True,False,True,True,False,True,True,False,False,True,True,True,False,True,False,True,True,False,True,False,False,False,True,True,True,False,False,True,False,True,True,False,False,True,False,True,False,False,False,True,False,False,True,False,True,True,False,True,False,True,True,False,False,True,False,True,True,True,True,False,True,True,True,True,True,True,True,True,True,False,True,True,True,False,False,True,False,False,False,False,True,True,True,False,True,False,False,True,False,True,False,False,False,True,True,False,False,True,True,True,True,True,True,False,False,False,True,True,True,False,False,False,False,True,False,True,True,False,False,True,False,True,False,True,False,False,False,True,False,True,False,True,False,True,False,True,True,False,False,False,False,True,False,True,False,True,False,True,False,True,False,False,True,False,True,False,True,False,True,True,False,False,False,True,True,True,True,True,False,False,False,False,True,False,True,True,True,False,False,True,False,True,False,True,False,True,False,True,False,False,True,False,True,False,True,True,True,False,True,True,True,True,False,False,False,True,True,True,True,True,False,False,True,True,True,True,False,True,True,False,False,True,False,True,True,True,True,True,False,False,False,True,True,True,True,True,True,False,True,True,True,True,True,True,True,False,True,False,False,True,True,True,False,True,True,False,False,False,True,False,True,False,True,True,False,True,True,False,False,False,True,True,True,False,True,True,False,True,True,False,True,True,True,False,True,False,True,True,False,True,False,True,False,True,True,True,True,True,True,False,False,False,True,False,False,True,True,True,True,True,False,True,False,True,True,False,False,True,False,False,True,False,True,True,True,False,False,True,True,True,False,False,True,False,True,True,False,False,False,True,True,True,True,False,True,True,True,False,False,False,True,True,True,False,True,True,False,False,False,False,True,True,False,True,False,True,True,True,False,True,False,False,True,False,True,False,False,False,False,True,True,True,True,True,False,False,True,True,False,True,True,True,True,True,True,True,False,True,False,False,True,True,True,False,False,False,False,True,False,True,False,False,False,False,False,True,True,True,True,False,False,False,True,True,True,True,True,True,False,False,True,True,False,True,True,False,True,False,True,False,False,True,True,True,True,False,True,True,False,True,True,True,False,True,True,True,True,True,False,False,True,False,True,False,False,False,False,True,True,True,False,True,True,True,True,True,True,False,True,True,False,False,False,True,False,False,False,False,False,False,True,False,False,False,True,False,False,False,True,True,False,True,True,True,True,False,False,False,True,True,False,False,True,False,False,True,True,False,True,False,False,True,True,True,True,True,True,True,False,True,True,False,False,True,True,True,True,True,True,False,True,False,True,False,True,True,False,True,False,True,False,False,False,False,True,False,True,False,True,True,True,True,False,True,True,True,True,True,False,True,False,True,False,True,True,True,True,False,True,False,True,False,False,False,False,False,True,False,True,True,False,False,False,True,True,True,True,False,False,True,True,True,True,True,False,False,False,True,False,True,False,True,True,True,False,True,False,True,True,True,True,True,False,False,False,False,False,True,True,True,False,True,True,True,False,True,True,True,True,True,True,True,False,True,False,False,True,True,True,True,True,True,False,True,True,False,True,False,True,True,True,True,True,False,False,False,False,False,True,True,False,True,True,False,True,True,True,False,False,False,True,False,False,False,True,True,False,True,False,True,True,False,True,True,False,False,False,True,False,True,False,True,False,True,True,True,True,False,True,True,False,True,False,True,False,True,False,True,False,False,False,False,True,True,True,False,True,False,False,False,False,True,False,True,False,True,True,False,False,False,True,True,True,False,True,True,True,True,False,False,True,False,False,False,True,True,False,True,False,True,True,True,False,True,False,True,True,True,False,True,True,True,True,False,True,False,True,False,True,False,True,False,True,True,False,True,True,False,True,True,True,True,True,True,True,False,True,True,False,True,False,False,True,False,True,True,True,True,True,True,True,False,False,True,False,True,False,True,True,True,False,False,True,False,True,True,False,False,False,False,False,True,False,True,True,False,True,False,True,False,False,False,False,True,True,False,True,True,True,True,True,True,True,False,True,False,True,True,False,True,False,False,True,True,True,True,False,True,False,True,False,False,False,True,True,False,True,True,True,True,False,True,False,True,False,True,True,False,False,True,True,True,True,True,True,False,True,False,True,True,True,True,True,True,True,True,False,False,True,False,True,True,True,True,False,True,True,True,False,True,False,False,False,True,True,True,True,True,False,True,False,True,True,False,False,True,False,False,True,True,True,True,False,True,False,True,False,True,True,False,True,False,True,False,True,True,True,False,False,False,False,False,False,True,False,True,True,True,True,True,False,False,False,True,False,True,False,False,False,False,True,True,True,True,False,True,True,True,True,True,True,False,False,True,False,True,False,True,False,False,False,True,True,True,False,True,False,False,False,True,True,True,True,False,False,False,True,False,False,True,True,False,True,False,False,False,True,True,True,False,True,True,True,False,True,True,True,True,False,True,True,True,False,False,False,False,True,False,True,False,True,True,True,True,False,True,False,False,True,True,False,True,True,True,True,False,False,True,False,True,True,True,True,True,False,False,True,True,False,False,False,True,False,True,False,True,False,True,True,True,False,True,True,True,True,False,True,True,False,True,True,True,True,False,False,True,False,True,True,False,False,True,True,False,False,True,False,True,True,False,True,True,False,True,False,True,False,True,False,True,True,False,False,False,True,False,False,True,False,True,True,True,True,False,True,True,True,True,True,True,False,True,False,False,True,False,False,False,True,False,True,True,True,True,True,False,False,False,False,True,False,True,True,False,False,True,True,True,True,True,False,False,True,True,False,True,True,False,True,True,False,False,True,True,False,True,True,False,False,True,True,False,True,False,False,True,True,False,True,True,False,True,True,True,False,True,False,True,True,True,True,True,False,False,False,False,True,False,True,False,False,True,True,False,True,True,True,True,True,True,True,False,False,False,True,True,False,True,True,True,True,True,False,True,False,False,False,False,False,False,True,True,False,True,True,True,False,True,False,True,False,False,False,False,False,False,True,False,True,True,False,False,False,False,True,False,False,False,False,True,False,True,True,True,False,True,False,True,True,True,False,True,True,False,False,True,False,True,False,True,False,False,True,True,True,True,True,True,False,True,True,False,False,False,True,True,True,False,True,True,True,False,True,False,False,False,False,True,False,True,False,True,False,True,False,False,False,True,True,True,False,False,False,True,True,False,False,False,False,False,True,False,False,True,False,False,False,True,True,False,True,False,True,False,True,True,True,True,True,False,False,True,True,False,False,True,True,False,False,True,False,True,True,True,False,True,False,True,True,True,True,True,True,True,True,True,False,False,True,True,False,False,False,False,False,True,True,False,False,True,False,True,True,True,True,False,False,True,False,True,True,False,False,True,True,False,True,True,True,False,False,True,True,False,True,True,True,True,False,True,True,True,True,True,True,False,False,False,False,False,False,True,True,True,True,False,False,False,True,True,False,True,False,False,True,True,False,True,True,False,True,False,True,False,True,True,True,False,False,False,False,True,False,True,True,False,True,False,True,True,False,True,True,False,True,True,True,True,True,False,True,False,True,False,False,True,False,False,False,False,True,True,True,False,True,False,True,False,True,False,True,True,False,True,False,True,False,False,True,False,False,True,False,True,False,False,False,True,True,True,False,False,False,True,True,True,True,False,True,False,True,True,False,True,True,False,False,True,True,True,True,True,True,False,True,True,False,False,True,True,True,True,True,True,False,True,True,False,False,True,True,True,True,False,False,False,True,True,False,False,False,True,True,True,True,False,False,False,True,False,False,True,False,True,True,False,False,True,True,True,False,True,False,False,False,True,True,True,False,True,False,False,True,True,False,False,False,True,False,False,True,True,True,False,True,False,True,True,True,True,False,True,True,True,True,False,True,True,True,True,False,True,False,False,True,False,True,False,True,True,False,True,True,False,True,True,False,True,True,False,False,False,True,True,False,True,True,False,False,False,False,False,True,True,True,False,False,True,True,False,True,True,True,False,False,False,True,False,True,True,True,True,False,False,True,False,True,True,True,True,True,True,True,True,True,True,False,False,False,True,True,True,False,True,True,True,True,False,False,False,True,True,True,False,True,False,True,False,False,False,True,True,False,False,True,True,False,False,True,False,False,False,True,True,True,True,False,True,True,False,True,True,True,True,True,True,False,True,True,False,True,False,True,True,True,False,True,True,False,True,True,False,True,False,True,False,False,True,True,True,False,False,True,True,True,True,True,False,False,False,True,True,False,True,False,False,True,True,True,True,True,True,False,False,True,True,True,True,True,True,False,True,True,True,False,False,True,True,False,False,True,False,True,True,True,False,True,False,False,False,True,True,True,True,True,False,True,True,False,True,True,False,True,True,False,True,False,True,False,True,True,True,False,False,True,False,False,False,False,False,False,True,False,True,False,False,True,True,False,False,True,True,False,True,True,True,False,False,False,True,False,False,True,False,True,False,False,True,False,True,False,True,True,True,False,False,True,True,True,False,True,False,False,True,True,False,True,False,True,False,True,False,True,False,True,False,True,False,False,True,True,False,True,False,False,True,False,True,False,True,False,False,True,True,False,True,True,True,True,True,True,True,False,True,True,True,True,True,True,False,False,False,False,True,True,False,False,False,True,True,True,False,True,False,False,True,True,True,False,True,False,True,True,False,True,True,True,True,True,True,True,True,True,True,True,True,True,False,True,True,False,False,True,True,True,True,False,True,True,False,True,True,True,False,False,False,True,True,True,False,False,False,True,False,False,False,True,True,True,True,False,False,True,False,False,False,False,True,False,True,True,True,True,True,False,True,False,False,True,True,False,True,False,True,True,True,True,True,False,True,False,True,True,True,False,True,True,False,False,True,True,False,True,False,False,True,True,True,False,True,False,True,True,True,True,False,True,False,False,False,True,True,False,True,False,True,True,True,True,True,True,True,True,True,False,False,False,True,True,False,False,False,False,True,True,False,False,True,True,False,False,False,False,False,True,True,True,False,True,False,False,True,True,True,True,True,False,False,True,False,True,True,True,False,True,False,False,False,True,True,False,False,True,True,False,False,True,True,False,True,True,True,False,False,False,True,True,True,False,True,False,True,True,True,True,True,True,True,False,False,True,False,True,False,False,True,False,True,False,False,False,True,False,True,True,True,True,False,True,True,False,True,False,True,True,True,False,True,True,True,True,True,True,False,True,False,False,False,False,False,False,False,True,True,True,True,True,True,True,True,True,True,False,True,True,False,True,False,True,False,True,True,False,False,True,True,False,True,True,True,False,True,True,False,True,False,False,False,False,True,False,False,False,True,True,True,True,True,True,False,False,False,True,True,False,True,False,False,False,False,True,True,False,False,True,False,False,False,True,False,True,True,True,True,True,False,True,True,True,True,False,True,True,True,False,False,True,True,False,False,True,False,False,True,True,False,False,True,False,False,False,True,False,True,True,True,True,False,False,True,True,False,False,False,True,False,True,True,True,True,False,False,True,True,True,False,True,False,False,False,False,True,True,True,False,False,False,True,True,True,False,True,True,True]</t>
  </si>
  <si>
    <t>[False,False,False,False,True,True,False,True,True,False,True,True,False,False,True,False,True,True,False,True,False,True,True,False,False,True,False,False,True,False,True,False,False,True,True,True,False,False,True,False,True,True,False,True,False,True,True,False,True,True,True,True,False,True,False,True,False,True,False,True,True,False,True,True,False,False,False,True,False,False,False,True,False,False,False,True,False,False,True,True,True,False,True,True,False,True,False,True,True,True,True,False,False,True,False,True,True,False,False,False,True,True,False,False,False,True,True,True,True,False,True,True,False,True,False,False,True,False,False,True,True,False,False,True,True,False,True,True,True,False,False,False,False,False,True,False,False,False,True,False,False,True,True,False,False,False,True,True,True,True,False,True,False,True,True,False,False,False,True,True,False,True,False,True,False,True,True,True,True,True,True,True,True,False,True,True,True,False,True,True,False,False,False,True,False,True,False,False,True,False,False,True,False,True,True,True,False,True,True,False,False,True,True,True,True,False,True,True,False,True,False,False,True,True,False,False,True,True,True,False,False,False,True,True,True,True,True,True,True,True,False,True,True,True,True,True,True,True,False,True,True,False,True,False,True,False,True,True,True,True,True,False,False,True,True,True,True,True,True,True,False,True,True,True,True,False,False,True,False,False,False,True,True,False,True,True,True,True,False,True,True,True,True,False,True,True,False,True,True,False,True,True,True,False,False,False,True,True,False,True,True,True,False,False,True,True,True,True,False,False,True,False,True,False,True,True,True,True,True,False,False,True,True,True,True,True,False,False,True,True,True,True,True,True,True,True,True,True,False,False,True,True,True,True,False,True,True,True,True,True,False,True,True,True,True,True,True,True,False,False,False,True,True,True,True,False,False,True,True,True,False,False,True,False,True,True,False,True,True,False,True,True,True,True,False,False,True,True,True,False,True,False,True,True,True,True,True,False,True,False,True,True,False,True,False,False,True,True,True,False,False,True,True,False,True,False,True,False,False,True,False,False,False,True,True,True,False,False,False,True,False,True,False,True,False,True,True,True,False,True,False,True,True,True,False,True,False,True,True,True,True,False,True,False,True,False,True,False,False,True,False,False,False,True,False,False,False,True,False,False,False,True,True,True,False,False,False,True,True,True,True,True,True,True,True,False,True,False,True,True,False,True,True,True,True,False,True,False,True,False,False,True,True,False,True,True,True,False,False,False,False,False,False,True,False,True,True,False,True,False,True,False,True,True,True,True,False,True,False,True,False,True,False,False,True,True,False,True,True,True,False,True,True,True,True,True,True,True,False,True,False,True,True,True,True,True,True,False,True,True,True,True,False,True,True,True,False,True,False,False,False,True,True,True,True,False,True,False,False,True,False,False,False,False,True,True,False,False,True,True,True,False,False,True,False,True,True,True,True,False,False,True,True,True,True,False,True,False,True,True,True,False,True,True,True,True,True,False,False,False,False,False,True,False,True,False,True,True,False,True,True,False,True,False,False,True,True,True,False,True,True,True,True,True,False,True,True,True,False,True,True,True,False,True,True,False,False,True,True,True,True,False,True,True,True,True,False,True,True,False,False,True,True,False,False,True,True,True,True,False,False,False,True,True,False,True,True,True,False,False,True,True,True,True,False,True,False,True,False,True,True,True,True,False,True,False,True,True,False,True,True,True,True,True,True,True,False,False,True,False,True,False,True,True,True,True,False,True,True,True,True,False,True,False,False,True,True,False,True,False,True,True,False,True,False,False,False,True,False,True,True,True,True,False,True,True,True,False,True,False,False,False,True,False,True,False,True,True,True,True,False,True,False,True,True,True,True,False,True,True,False,False,True,True,False,True,True,False,False,True,True,True,True,False,True,True,True,True,False,False,True,True,False,False,False,True,False,False,True,True,True,False,True,False,False,True,True,True,True,True,True,True,False,False,False,False,False,True,True,True,False,True,True,False,True,True,True,True,False,False,False,True,False,False,False,True,False,True,False,False,False,True,True,False,False,False,False,True,False,True,True,True,False,True,False,True,True,True,True,True,False,False,False,True,True,True,True,False,False,False,True,True,False,True,True,True,True,True,True,False,True,True,True,False,True,False,False,True,True,True,True,False,False,False,True,False,True,True,True,False,True,False,False,True,True,False,False,True,True,False,True,True,True,True,True,False,False,True,True,True,False,True,True,True,True,False,True,True,True,True,False,True,True,False,True,True,False,False,True,False,False,True,True,False,False,False,True,True,False,True,True,True,False,True,True,True,True,True,False,True,False,False,False,False,True,False,False,False,False,True,True,True,False,True,True,False,True,True,False,True,True,False,True,True,True,True,False,True,True,False,True,True,True,False,True,False,False,False,True,False,False,False,False,True,True,False,True,True,True,False,False,True,True,False,True,False,True,True,True,True,True,True,False,True,True,False,True,True,False,True,False,True,False,False,True,False,False,False,False,False,True,True,False,True,False,True,True,False,False,True,False,True,True,False,True,True,False,False,False,True,True,True,True,True,False,True,True,True,True,False,False,True,True,True,True,True,True,False,True,True,True,True,True,True,True,True,True,True,True,True,True,False,False,False,True,True,False,True,True,False,False,True,False,True,True,True,False,False,False,False,False,True,False,True,False,True,True,True,True,True,True,False,False,False,True,False,True,True,False,False,True,True,False,True,False,False,True,True,True,True,True,False,True,False,False,False,False,False,True,True,False,True,False,True,False,False,False,True,False,False,True,False,True,True,False,True,True,False,True,True,False,True,True,True,True,True,True,False,False,False,True,True,True,True,False,True,True,False,False,True,True,False,True,True,True,False,True,False,True,True,False,False,True,True,True,True,True,False,True,True,True,False,True,False,False,True,True,False,False,False,True,False,True,True,False,True,True,True,False,False,True,False,True,True,False,False,False,False,False,False,False,True,False,True,False,True,False,True,True,False,False,False,True,False,True,True,False,True,False,True,True,True,False,True,True,True,True,True,True,True,False,False,False,True,False,False,False,False,True,False,True,True,False,True,True,True,True,True,False,True,False,True,True,False,True,True,True,True,True,True,True,False,True,True,False,False,True,False,False,True,False,False,True,True,True,True,True,True,True,True,False,True,False,False,True,True,True,True,False,True,True,False,True,True,True,True,True,False,True,False,False,False,True,False,False,True,False,True,True,True,False,True,False,True,True,True,False,True,True,True,True,False,True,True,False,False,True,True,True,True,False,False,False,True,True,True,True,True,False,False,True,True,True,False,True,True,True,False,True,False,True,False,False,False,False,True,True,True,False,True,False,True,False,True,False,True,True,True,False,False,False,True,False,True,True,True,True,False,False,True,False,True,False,False,True,True,False,True,False,False,True,True,True,False,True,True,False,False,False,False,True,False,False,False,False,True,True,False,True,True,True,True,True,True,False,True,False,True,False,True,True,False,False,True,True,False,True,True,True,True,False,True,True,True,False,False,True,True,True,True,False,True,False,True,True,False,False,False,True,True,False,True,True,True,True,False,True,False,True,False,False,True,True,True,False,False,True,True,False,True,True,True,False,True,True,False,True,True,True,False,True,False,True,True,False,True,True,True,True,False,True,False,True,False,False,True,False,True,True,False,True,True,False,True,True,True,False,True,False,True,True,False,True,False,True,True,False,False,False,True,True,True,False,False,True,False,True,True,False,False,True,False,False,False,True,False,False,True,False,False,True,True,True,True,True,False,False,True,False,True,True,False,True,True,True,False,True,False,False,True,True,False,False,False,True,True,True,False,False,False,False,True,True,False,False,True,True,True,True,True,True,False,True,False,True,False,False,False,False,False,False,False,True,True,False,True,True,False,True,False,True,True,True,False,True,True,True,False,False,True,True,False,True,True,True,False,False,True,True,True,True,False,True,False,True,True,True,False,True,False,False,False,False,True,True,True,True,False,True,True,False,True,True,False,False,False,True,True,False,False,True,False,True,False,True,True,True,True,False,False,True,False,False,True,False,True,True,True,False,True,True,True,True,False,True,True,True,False,True,True,True,False,False,True,False,True,True,True,True,False,True,False,True,True,True,True,True,False,True,True,True,True,True,False,True,False,False,True,False,True,True,True,True,True,True,False,True,True,False,False,False,True,True,True,False,True,True,False,True,False,False,True,True,True,False,True,False,False,True,False,False,True,True,True,True,True,True,True,True,False,True,False,False,True,True,False,False,True,True,False,False,True,True,True,True,True,True,False,False,False,True,True,False,True,True,False,True,False,False,True,True,True,True,True,True,True,True,True,True,True,True,True,True,True,True,True,False,True,False,True,True,False,False,False,False,False,True,False,False,True,False,True,True,True,True,True,False,False,False,False,False,False,False,True,False,False,False,False,True,True,True,True,False,True,False,False,True,True,False,False,True,False,True,True,False,True,True,True,True,True,True,True,True,True,False,True,False,False,True,False,True,False,True,True,False,True,True,False,False,True,True,True,True,False,False,False,True,True,True,True,False,True,False,True,True,True,True,False,True,False,True,True,True,True,False,False,True,True,True,True,True,False,True,False,False,True,False,True,False,False,True,False,False,True,False,True,True,True,True,True,False,False,False,True,False,True,False,False,True,True,False,False,True,True,True,False,False,True,False,False,False,True,True,False,False,True,True,True,True,False,True,False,True,True,True,True,False,False,True,True,True,True,True,False,True,True,False,True,False,False,False,True,False,False,True,True,True,True,True,True,False,False,True,True,True,False,True,False,True,False,False,False,True,True,True,False,False,True,False,False,True,False,False,True,False,True,False,True,True,True,True,True,False,False,True,True,True,False,False,True,False,False,False,True,True,True,True,False,True,True,False,False,False,True,True,True,True,True,False,True,True,False,True,True,False,False,True,True,False,False,True,False,True,True,True,True,True,True,True,True,True,True,False,False,True,True,True,False,False,False,True,True,True,True,False,False,True,False,False,True,False,False,False,True,True,False,False,False,True,True,True,True,False,True,True,True,True,True,True,True,True,False,True,False,True,True,False,False,False,False,False,False,False,True,True,False,False,False,True,True,True,True,False,True,True,True,True,False,False,True,True,True,False,False,True,True,False,True,False,False,True,False,True,True,False,True,False,True,True,True,True,True,True,False,False,False,False,False,False,True,True,True,False,True,False,True,True,False,True,True,False,False,False,True,False,False,False,False,False,True,False,True,True,True,True,False,True,False,True,True,False,True,True,False,False,True,True,True,False,False,True,False,True,False,False,True,False,True,False,True,True,False,True,True,True,True,True,True,True,False,False,True,True,False,True,False,True,True,True,True,False,True,False,False,False,False,False,True,True,True,False,True,True,False,True,False,True,True,True,True,True,True,True,True,True,False,False,False,True,True,True,True,False,True,True,False,True,False,False,False,True,True,True,True,False,True,True,True,True,True,True,True,True,False,True,True,False,False,False,True,True,True,True,True,False,True,True,True,True,False,True,False,True,True,False,False,False,False,True,False,True,False,False,True,False,False,True,False,False,False,True,True,True,True,False,True,True,False,False,False,True,False,False,False,True,False,True,False,True,False,True,True,False,True,True,False,False,False,True,True,True,True,True,True,True,True,True,False,True,False,True,True,True,False,True,False,True,False,False,False,False,True,True,False,True,False,True,True,True,True,False,False,True,False,False,False,False,False,False,True,False,False,False,False,True,False,False,True,True,True,True,True,True,True,True,True,False,False,True,False,True,False,False,True,False,True,True,True,False,True,False,True,False,True,False,True,False,False,False,True,True,True,True,True,False,True,False,False,False,False,False,False,True,True,True,False,False,True,False,True,True,False,True,True,True,True,True,False,True,False,True,True,True,True,True,False,True,True,True,False,True,True,True,False,False,False,True,True,True,True,True,False,False,True,True,True,False,True,False,True,True,True,True,True,True,False,True,False,True,True,True,True,False,True,False,True,True,True,False,False,False,True,True,True,False,True,True,True,False,False,True,False,True,True,True,False,True,True,False,False,True,False,True,True,False,True,True,True,True,False,True,False,True,True,True,True,True,True,False,True,True,False,False,True,True,True,False,True,False,False,False,False,False,True,True,True,True,True,True,False,True,False,True,True,False,True,False,False,True,True,False,False,True,True,False,False,True,True,True,True,False,True,True,True,False,True,False,True,True,True,True,False,False,False,True,True,True,True,True,True,True,False,True,True,False,True,False,True,True,True,True,False,True,True,False,True,False,False,True,False,True,False,False,True,True,True,False,False,True,False,False,True,False,True,True,True,True,False,True,True,True,True,False,False,False,True,True,False,True,False,True,True,True,False,True,True,False,True,True,False,True,False,True,True,True,True,True,True,True,True,False,True,True,True,False,True,True,True,True,False,True,True,False,True,True,False,False,True,True,True,False,False,False,False,True,True,False,True,True,True,True,False,True,False,True,True,True,True,True,True,True,False,True,True,True,False,True,True,False,False,True,False,True,True,True,True,True,False,False,False,True,False,True,True,True,True,True,False,True,False,True,False,True,True,False,True,True,False,True,False,False,False,False,True,False,True,True,True,False,True,True,False,True,False,True,True,True,False,False,True,True,True,False,True,True,False,True,True,False,True,False,False,False,True,True,True,False,False,False,False,False,True,True,True,True,True,False,False,False,True,True,True,True,False,False,True,False,True,True,True,True,True,True,True,True,False,True,True,True,False,True,True,False,True,False,True,False,True,True,True,True,False,False,True,False,False,True,False,True,False,True,True,False,True,True,True,True,False,True,True,False,False,True,False,True,True,False,False,True,True,False,True,True,False,True,False,True,True,True,False,True,False,True,True,False,True,False,True,True,True,False,True,True,False,True,True,True,False,False,True,True,True,True,True,True,True,False,True,False,False,True,True,False,True,False,False,False,False,False,True,False,True,True,True,True,True,False,True,False,True,True,True,False,False,True,True,True,True,True,False,False,True,True,True,False,True,True,False,False,False,False,True,True,True,False,True,True,True,False,False,False,True,True,True,True,True,False,False,False,False,True,True,False,True,False,True,True,True,True,False,True,True,False,True,False,False,True,False,False,True,True,True,True,True,True,True,True,True,True,True,False,True,True,True,True,True,True,False,False,True,False,True,True,False,True,True,True,False,True,True,False,True,True,True,False,True,True,True,True,False,False,False,True,False,True,True,True,True,False,False,True,True,False,True,True,True,False,True,False,False,False,False,False,True,False,False,False,False,False,False,True,False,True,True,True,True,True,True,True,True,True,True,True,False,False,True,True,False,True,True,True,True,True,True,True,True,True,False,True,False,False,True,True,False,False,False,False,False,True,True,False,False,False,False,True,False,True,True,True,False,True,True,True,True,False,False,True,True,False,True,False,True,True,False,False,False,False,True,False,False,True,False,True,True,False,True,True,False,True,False,True,False,True,True,False,True,True]</t>
  </si>
  <si>
    <t>[False,True,True,False,False,True,True,True,True,False,True,True,True,False,True,False,True,True,True,False,False,True,True,True,True,True,False,True,False,True,False,False,False,True,True,True,True,True,False,True,False,True,True,True,False,True,False,True,False,True,True,True,True,True,True,False,False,True,True,True,False,False,False,True,True,True,False,False,True,False,True,True,True,True,True,True,True,False,False,True,True,True,False,True,True,True,False,False,True,True,False,True,True,False,True,True,False,False,True,False,True,True,True,True,False,False,True,False,True,True,True,True,True,True,True,True,False,True,False,True,True,False,False,False,True,True,False,True,False,True,False,True,True,True,True,False,True,True,False,True,True,True,True,True,True,True,True,False,False,False,False,True,False,False,False,True,True,True,True,False,False,False,False,False,False,True,True,False,True,True,True,True,True,False,True,True,True,True,True,False,True,False,True,False,True,True,True,True,False,True,False,True,True,True,True,True,False,True,False,False,False,True,False,False,False,True,True,True,True,True,True,False,True,False,False,False,False,False,False,True,False,False,True,True,True,False,False,False,False,False,False,False,True,True,False,False,False,True,True,True,True,True,True,False,False,True,True,True,False,True,False,False,True,True,False,False,True,True,True,False,True,False,False,True,True,True,True,False,True,True,False,True,True,True,False,False,True,True,True,True,True,True,True,False,False,False,False,False,True,True,True,True,True,True,False,True,True,False,False,False,True,True,True,False,False,False,True,True,False,True,True,True,True,True,True,False,True,False,True,False,True,True,False,True,True,True,False,True,True,True,False,True,True,True,True,False,True,True,True,False,True,True,True,True,True,True,True,True,True,True,True,True,True,False,True,True,False,False,True,True,True,True,False,True,True,True,True,False,False,False,True,True,True,True,False,True,True,False,True,True,True,False,False,True,True,True,False,False,True,False,True,True,True,True,False,True,False,False,False,False,True,True,False,True,True,True,True,True,True,True,True,True,False,True,False,False,False,True,True,True,True,True,False,True,True,True,False,False,True,True,True,False,True,False,False,False,True,False,True,True,True,True,True,False,False,True,False,True,True,False,True,True,True,True,True,True,True,True,True,True,True,False,False,True,False,False,True,False,True,True,False,True,True,True,True,False,True,True,False,False,True,True,False,False,False,True,False,True,True,True,True,False,True,False,True,False,False,True,True,True,True,True,True,True,True,True,True,False,True,True,False,True,True,False,True,True,False,True,True,True,True,True,True,False,True,True,True,True,False,False,True,True,True,False,False,True,True,True,True,False,True,True,True,True,False,True,True,True,True,True,True,False,True,False,False,False,False,False,True,True,False,True,True,True,False,False,False,True,True,False,True,True,False,False,False,True,True,True,False,True,False,False,True,True,True,True,True,True,True,True,True,True,False,True,True,False,True,True,True,True,True,True,True,True,True,True,True,True,True,False,True,True,False,False,False,False,True,True,False,True,False,True,False,True,False,True,True,False,False,True,True,True,True,True,True,False,True,True,False,False,False,True,True,True,True,False,False,True,True,True,False,True,True,False,False,True,True,False,True,True,True,True,True,False,True,False,True,True,True,True,False,False,False,False,True,True,True,True,True,True,True,True,True,True,True,True,True,False,False,True,True,True,True,False,True,True,False,False,False,True,True,True,True,True,False,True,True,False,False,True,False,True,True,True,True,True,True,False,True,True,False,False,False,True,False,False,True,True,True,False,False,True,True,True,True,True,True,False,False,True,True,True,True,True,True,True,True,True,True,False,False,False,True,True,True,False,True,True,True,True,True,False,True,False,True,True,True,True,True,True,True,False,False,True,False,False,True,True,False,True,False,False,False,True,True,True,False,True,True,True,True,False,True,True,True,False,True,False,True,True,True,True,False,False,True,True,False,True,True,True,False,False,True,True,True,True,True,True,False,True,True,True,False,False,True,False,True,True,True,True,False,True,True,False,True,True,False,True,True,True,True,True,True,False,True,True,True,True,True,True,False,False,True,True,True,True,False,False,True,True,True,True,True,True,True,True,True,True,False,False,True,True,False,False,True,False,False,False,False,False,True,True,True,True,True,False,False,False,False,True,False,True,False,True,True,True,False,False,True,False,True,False,True,True,False,True,True,True,True,True,True,True,False,True,True,True,False,False,True,True,False,False,False,True,True,True,False,False,True,False,True,False,False,False,False,True,True,True,True,False,True,False,True,True,True,False,True,False,False,True,True,True,False,True,False,True,True,False,False,True,False,True,True,True,True,False,True,True,True,True,True,False,True,False,True,False,False,False,True,True,False,False,True,True,False,False,True,False,True,False,True,True,True,False,False,True,True,True,True,True,True,True,True,False,False,False,True,True,True,True,False,True,False,True,True,True,False,False,False,True,True,True,True,True,True,True,False,True,False,True,True,False,True,False,False,False,True,True,True,True,True,False,True,True,False,False,True,True,False,True,True,False,False,False,True,False,True,True,True,True,False,True,True,True,True,True,True,True,False,True,True,True,False,True,True,True,True,False,False,True,False,True,False,True,False,False,False,True,True,True,True,True,False,False,True,True,True,True,True,False,True,False,True,True,True,False,True,True,True,True,False,True,True,False,True,False,False,False,True,False,False,True,True,True,True,True,False,False,False,False,False,True,True,True,True,True,True,False,False,False,True,False,True,True,True,True,True,False,True,True,True,False,False,False,False,False,True,False,True,True,True,True,True,True,True,False,True,True,True,False,False,True,False,False,True,True,True,True,False,True,False,True,True,False,False,False,False,False,True,True,True,False,False,True,True,True,True,False,True,True,True,False,True,True,True,True,True,True,False,True,True,False,True,True,False,True,True,True,True,True,False,False,True,True,True,False,True,True,True,True,True,False,True,False,True,True,True,True,False,True,False,True,False,True,False,True,False,False,False,False,True,True,False,True,True,True,True,False,True,False,False,False,False,True,True,False,False,True,True,False,False,True,True,False,False,True,True,False,True,True,True,True,False,True,True,True,True,False,False,True,True,False,True,True,False,True,False,True,False,True,True,True,True,True,True,False,True,True,False,True,True,False,False,False,True,True,True,True,False,True,True,False,False,False,True,True,True,False,True,False,True,False,False,True,False,True,True,True,True,False,True,False,False,True,True,False,True,False,True,False,True,True,False,True,False,True,True,False,False,True,True,True,True,True,True,False,False,False,True,False,True,True,False,False,True,True,True,True,False,False,True,True,True,False,True,False,True,True,True,False,True,False,True,False,False,False,False,False,False,False,False,True,True,True,True,True,True,True,True,True,False,False,False,True,False,True,True,True,True,False,True,True,True,False,False,True,True,True,True,True,True,True,False,False,False,True,True,False,False,False,True,True,True,True,True,False,True,True,True,True,False,False,False,True,False,True,False,True,True,False,True,True,True,True,True,False,True,True,True,True,False,True,False,False,False,True,False,False,False,True,False,True,True,False,True,True,True,False,False,True,False,False,False,True,True,True,False,False,True,True,True,False,False,True,True,True,True,False,True,False,True,False,True,False,True,True,True,True,True,True,True,True,False,True,True,True,False,True,False,True,True,True,True,True,False,False,True,True,False,False,True,True,False,True,False,True,False,True,True,False,True,True,False,False,True,False,True,True,True,True,True,True,False,True,True,False,False,False,True,False,True,True,True,True,True,False,True,True,True,True,True,False,False,True,True,True,True,True,True,False,True,False,True,False,True,True,True,True,True,False,False,True,False,True,False,False,False,True,True,True,False,True,False,True,True,True,True,True,True,True,True,True,True,True,False,False,True,True,True,True,True,True,True,True,True,True,False,True,False,False,True,False,False,True,True,True,True,True,True,False,True,False,True,True,True,False,True,True,False,True,False,True,False,True,True,True,True,False,True,False,True,False,True,True,True,True,True,False,False,False,True,True,True,False,False,True,True,True,False,True,True,False,True,False,False,True,False,True,False,True,False,False,False,False,True,False,True,True,True,True,True,False,True,True,False,True,True,True,True,True,True,True,True,True,True,True,False,False,False,True,True,True,False,True,True,False,True,True,True,True,True,False,False,True,False,True,True,True,True,True,True,False,False,True,True,True,False,True,True,True,True,False,True,True,True,False,False,True,True,True,False,True,False,True,False,True,True,True,True,True,True,True,True,False,True,True,True,False,True,False,False,True,True,False,False,True,True,False,True,True,True,False,True,True,True,True,True,True,True,False,True,False,False,False,False,False,True,True,False,False,True,False,True,True,False,True,False,True,True,True,True,False,True,False,True,True,True,False,True,True,True,False,False,True,False,True,True,True,False,False,False,False,True,True,True,True,True,True,False,True,False,False,False,True,True,False,True,True,False,False,False,True,True,False,True,False,True,True,False,False,False,True,True,False,True,True,True,True,False,True,True,False,False,False,False,True,False,False,True,False,True,False,False,True,False,True,True,False,True,True,True,False,True,True,True,True,False,True,False,True,True,False,True,False,True,False,True,False,False,True,True,True,True,True,True,False,False,True,True,True,True,True,True,True,True,True,True,True,True,True,False,False,True,True,True,False,True,True,False,True,True,True,False,False,True,True,True,False,True,True,True,True,True,False,True,True,False,True,True,True,False,False,True,True,True,True,False,False,True,True,True,True,True,False,False,True,False,True,False,True,False,True,True,False,True,True,False,False,True,True,True,True,True,True,False,True,False,True,False,False,True,True,False,True,True,True,False,True,False,False,True,False,False,False,True,True,True,True,True,True,True,False,True,True,True,True,False,True,True,True,True,True,True,False,True,True,True,True,False,False,True,False,False,True,False,False,False,True,True,True,True,True,False,False,True,True,True,True,False,True,False,True,True,True,True,True,False,True,True,False,False,False,True,True,False,True,False,False,True,True,True,False,True,True,False,True,True,True,True,True,True,False,True,False,False,False,True,True,False,True,True,True,False,False,True,True,False,False,False,False,True,True,True,True,True,False,True,True,True,True,True,True,True,False,False,True,False,True,True,False,True,True,False,True,True,False,True,True,True,False,True,False,False,True,False,False,True,True,False,False,True,True,False,True,False,True,False,False,False,False,False,True,False,False,False,True,True,True,True,True,True,False,False,True,True,True,True,True,False,False,False,True,False,False,False,False,True,True,True,True,True,True,False,False,True,True,False,False,False,True,True,True,False,False,True,False,True,True,True,True,False,False,False,True,True,True,True,True,True,False,True,True,True,True,False,True,False,True,True,False,True,False,True,False,False,True,False,True,False,False,True,False,True,True,False,True,True,True,True,False,True,False,True,False,True,False,True,True,True,False,False,True,True,True,True,True,False,True,True,False,True,True,True,False,True,False,True,False,False,True,False,True,False,True,True,False,False,True,False,False,False,True,True,True,True,True,True,True,True,True,True,False,False,True,True,False,True,False,False,False,True,True,True,False,True,True,True,True,False,True,True,True,True,False,True,True,True,True,False,False,False,False,True,False,True,False,False,False,True,False,False,False,False,False,True,False,True,True,True,True,False,False,False,True,False,False,False,False,True,False,False,False,False,False,True,True,True,False,False,True,False,False,True,True,False,False,False,False,False,False,False,True,True,False,False,True,True,True,False,True,False,False,True,True,True,True,True,False,False,True,True,True,True,True,True,True,True,True,False,False,True,True,False,True,True,True,False,True,False,False,True,True,True,True,False,True,True,True,False,False,True,True,True,False,False,False,True,True,True,True,True,True,True,True,False,True,False,True,False,True,True,True,True,True,True,False,False,True,True,False,True,True,True,False,False,True,True,True,True,True,False,True,True,False,True,False,False,True,True,False,False,False,True,True,True,True,False,True,True,True,False,False,True,True,False,True,True,True,False,True,False,True,True,True,True,True,True,False,False,False,True,False,True,True,True,True,True,True,False,False,True,True,True,False,True,True,False,True,False,False,True,False,False,True,False,False,True,False,True,True,True,True,True,True,True,False,True,False,False,False,True,True,True,False,False,True,True,False,True,True,True,True,True,True,True,True,False,False,True,False,True,True,True,False,True,False,True,False,True,True,True,False,True,True,True,True,True,True,False,True,True,False,True,False,True,False,True,True,True,True,True,False,True,False,False,True,False,False,True,True,True,False,True,False,True,True,True,False,False,False,True,True,False,True,True,True,True,False,False,True,False,True,False,True,True,True,False,False,False,True,False,True,False,True,False,True,True,False,True,False,True,True,False,True,True,False,True,True,True,True,True,True,False,True,False,False,False,False,True,False,False,True,False,True,True,True,True,True,True,True,True,True,True,True,True,False,True,False,False,True,True,False,True,True,True,False,True,True,True,False,True,False,False,False,False,False,True,False,False,True,False,False,True,False,True,False,False,True,False,True,True,True,True,True,True,False,False,True,True,False,False,False,True,False,False,False,False,False,False,True,True,False,True,True,False,False,True,True,False,True,True,True,False,True,False,True,False,False,False,False,True,True,False,True,True,False,False,False,False,True,False,True,True,True,False,True,False,True,True,True,False,False,False,False,True,False,True,False,True,False,True,True,False,True,True,False,True,True,False,False,True,True,True,False,False,True,False,True,True,False,True,True,True,False,True,False,True,False,False,True,True,True,True,False,True,False,True,False,True,True,True,True,True,True,False,True,False,False,False,True,False,False,False,True,False,True,True,True,True,True,False,True,False,True,True,True,True,True,True,True,False,True,True,True,True,True,False,True,True,True,True,False,True,False,True,True,True,True,False,False,True,True,True,True,True,False,True,True,True,True,True,False,True,False,False,False,False,False,True,True,True,True,True,False,False,True,True,False,True,True,True,True,True,True,True,True,False,False,False,True,True,True,False,True,False,True,True,False,True,True,True,True,True,True,True,True,True,True,True,False,False,True,True,True,False,True,True,True,True,True,True,True,False,True,False,True,False,True,True,False,False,False,True,False,True,False,False,True,False,True,False,True,True,True,True,False,True,False,True,False,False,True,False,True,True,True,True,False,False,True,True,False,True,True,False,False,False,True,True,False,True,False,True,True,False,True,True,True,True,True,True,True,True,False,True,True,False,True,False,False,True,False,False,False,False,True,False,True,True,True,True,True,True,True,True,True,True,True,True,True,True,True,True,True,False,True,False,False,True,True,False,True,True,True,True,True,False,True,True,True,True,True,True,False,True,False,True,True,False,True,True,False,False,True,True,True,True,True,True,True,True,True,False,True,True,False,False,False,True,True,True,False,False,False,True,True,True,False,False,True,False,True,True,True,True,True,True,True,True,False,True,True,True,False,True,True,True,True,True,True,True,True,True,True,True,True,True,False,True,True,True,False,False,True,False,True,True,True,False,False,True,True,True,False,True,False,True,False,True,False,False,True,True,False,True,True,True,True,True,False,False,True,False,False,False]</t>
  </si>
  <si>
    <t>Fig2B_HW_Seen_NovelStation</t>
  </si>
  <si>
    <t>[False,False,True,False,False,False,False,True,False,False,False,False,False,False,False,False,False,False,False,False,False,False,False,True,False,False,False,False,False,False,False,False,False,False,False,False,False,False,False,False,True,False,True,False,False,False,False,False,False,False]</t>
  </si>
  <si>
    <t>[False,False,False,False,False,False,False,False,False,True,False,False,False,False,True,False,False,False,False,False,False,False,False,False,False,False,False,False,False,False,False,False,True,False,False,False,False,False,False,False,False,False,False,False,False,False,False,False,False,False]</t>
  </si>
  <si>
    <t>[True,True,True,True,True,True,False,False,False,False,True,True,True,True,True,True,False,True,True,True,False,True,True,False,True,True,True,True,False,True,True,False,True,False,True,True,False,False,True,True,True,True,True,True,False,False,True,True,True,False]</t>
  </si>
  <si>
    <t>[True,True,False,False,True,True,True,True,True,True,True,False,True,True,True,False,True,True,False,True,True,True,True,True,True,True,False,False,False,True,True,True,True,True,True,True,True,True,True,True,True,True,True,True,True,True,True,True,True,True]</t>
  </si>
  <si>
    <t>[False,False,False,False,False,False,False,True,False,False,False,False,False,False,True,True,False,False,True,True,False,False,False,True,False,False,False,False,False,True,False,False,False,False,True,True,True,False,True,False,True,False,True,True,False,False,True,True,False,False]</t>
  </si>
  <si>
    <t>[True,True,True,True,True,True,True,True,True,True,True,True,True,True,True,True,True,True,True,True,True,True,True,True,False,True,True,False,False,True,True,True,True,False,True,True,True,True,True,True,True,True,True,True,True,True,True,True,True,True]</t>
  </si>
  <si>
    <t>Aggregate - Novel station</t>
  </si>
  <si>
    <t>[False,False,True,True,False,False,False,True,True,False,True,True,True,False,False,True,True,True,False,True,False,True,True,True,False,True,True,False,False,False,True,True,True,True,True,False,False,True,False,True,True,False,False,False,False,False,False,True,False,True,True,False,False,True,True,False,False,False,True,True,False,True,False,True,False,False,False,False,False,True,True,True,True,False,True,True,True,False,False,False,False,True,False,False,False,False,False,False,True,False,True,True,False,False,True,True,False,True,False,False]</t>
  </si>
  <si>
    <t>[False,False,False,False,False,False,False,False,False,False,False,False,False,False,True,False,False,False,False,False,False,False,False,False,False,True,False,True,False,False,False,False,True,False,False,False,False,False,False,False,False,False,True,False,False,False,False,False,False,True,False,False,False,False,True,False,True,True,False,False,True,False,True,False,True,False,False,False,True,False,False,False,False,False,True,False,False,False,False,False,True,True,False,False,False,False,True,True,False,False,True,False,False,False,False,False,False,False,False,False]</t>
  </si>
  <si>
    <t>[False,True,True,True,True,True,True,True,False,True,True,True,True,True,False,False,True,True,True,True,False,True,True,True,True,False,False,True,True,False,True,False,True,True,True,True,True,True,True,True,True,False,True,True,True,True,True,True,True,True,True,True,True,False,True,True,True,True,True,True,True,True,True,True,True,True,True,True,False,True,True,False,True,True,False,True,False,False,True,True,True,True,True,True,False,True,True,True,True,True,False,True,True,True,True,True,False,True,True,True]</t>
  </si>
  <si>
    <t>Fig2B_HW_Seen_DistShift</t>
  </si>
  <si>
    <t>[False,False,False,False,False,False,False,True,False,False,False,True,False,True,False,False,True,False,True,False,False,True,False,False,False,False,True,False,True,True,True,True,True,False,True,False,False,False,False,False,False,True,True,False,False,True,False,False,True,False]</t>
  </si>
  <si>
    <t>[False,False,True,False,False,True,False,True,False,False,False,False,True,True,True,True,True,False,False,False,False,False,True,True,False,True,True,True,True,False,False,False,False,True,False,False,False,False,True,True,True,False,False,False,False,False,True,False,False,False]</t>
  </si>
  <si>
    <t>[True,True,True,True,True,True,True,True,True,False,True,True,True,True,True,True,True,True,True,False,True,True,True,False,False,True,True,True,True,True,True,True,True,True,True,True,True,True,False,True,True,True,False,True,False,True,False,False,False,True]</t>
  </si>
  <si>
    <t>[False,False,False,False,False,False,False,False,False,False,False,False,False,False,False,False,False,True,False,False,False,False,False,False,True,False,False,False,False,False,False,True,False,False,False,False,False,False,False,False,False,False,False,False,False,False,False,False,False,False]</t>
  </si>
  <si>
    <t>[False,False,False,False,False,False,False,False,False,False,True,False,False,False,False,False,False,False,False,False,False,False,False,False,True,True,False,False,False,False,False,False,False,False,False,False,False,False,False,True,False,False,False,False,False,True,False,False,False,False]</t>
  </si>
  <si>
    <t>[False,False,False,False,False,False,False,False,False,False,False,False,False,False,False,False,False,True,False,False,False,False,False,False,True,False,False,True,False,False,False,True,False,False,False,False,False,False,False,True,False,False,False,False,False,False,False,False,False,False]</t>
  </si>
  <si>
    <t>[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]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</si>
  <si>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</si>
  <si>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Aggregate - Distribution shift</t>
  </si>
  <si>
    <t>[False,False,False,False,True,True,False,True,True,False,False,False,False,False,False,True,False,True,True,False,False,False,False,False,False,False,False,False,False,False,False,True,False,False,False,False,False,False,False,False,False,False,False,False,False,False,False,False,False,False,False,False,False,False,False,False,False,False,True,False,False,False,False,False,False,False,False,True,False,False,False,False,False,False,False,False,False,False,False,False,True,False,False,True,False,False,False,False,True,False,False,False,False,False,False,False,False,True,False,False,False,False,False,False,False,False,False,False,False,False,False,False,False,False,False,False,False,False,False,False,False,False,False,True,False,False,False,False,False,False,False,True,False,False,False,False,False,False,False,True,False,False,False,True,False,True,True,False,True,False]</t>
  </si>
  <si>
    <t>[False,False,False,False,False,False,False,True,True,False,False,False,True,False,False,False,False,True,False,False,False,False,False,False,False,False,False,False,False,False,False,False,True,False,False,True,False,False,True,False,False,False,False,False,False,False,True,False,False,True,False,False,False,False,False,True,False,False,True,False,False,False,False,False,False,True,False,False,False,False,False,False,False,False,True,False,False,False,True,False,False,False,False,False,True,True,False,False,False,False,False,False,False,False,False,False,True,True,False,False,False,False,False,True,False,False,False,False,False,False,False,False,True,False,False,False,False,False,False,False,False,False,False,False,False,False,False,False,False,False,False,False,False,False,False,False,True,False,False,False,False,False,False,True,True,False,True,False,False,False]</t>
  </si>
  <si>
    <t>[False,False,False,False,False,False,False,False,False,False,False,True,False,True,True,True,False,True,False,False,False,False,False,False,False,False,True,False,False,True,False,True,False,False,False,False,True,False,True,False,False,False,False,False,True,True,True,True,False,False,False,False,False,False,False,True,False,False,True,True,False,False,False,True,False,True,False,True,False,False,False,False,True,True,False,False,True,False,False,True,False,False,True,False,True,True,False,False,False,False,True,False,False,False,True,False,False,False,True,False,False,False,False,True,False,True,False,False,False,True,False,True,False,False,False,False,False,False,False,False,True,False,True,False,True,False,False,False,False,True,False,False,False,False,True,False,True,False,False,True,True,False,True,True,False,False,False,True,False,False]</t>
  </si>
  <si>
    <t>Fig2B_Sim_Seen_DistShift</t>
  </si>
  <si>
    <t>[True,False,True,True,True,False,True,True,True,True,True,True,True,True,False,True,False,True,True,True,False,True,True,True,True,True,True,False,False,True,True,True,True,False,True,False,True,True,False,False,False,False,False,False,False,True,False,True,False,True,True,True,True,True,True,True,True,False,False,True,True,True,True,True,True,False,True,True,False,False,True,True,False,True,False,True,True,False,False,True,True,True,True,True,False,True,True,False,True,False,True,True,True,True,True,False,True,False,True,True,True,False,True,True,False,False,False,False,True,True,False,True,True,True,True,False,True,True,False,True,False,True,True,True,True,True,False,True,True,False,True,True,True,False,False,True,True,True,True,True,True,True,True,True,True,True,True,True,True,False,True,True,False,True,False,True,True,False,False,True,True,True,False,False,False,True,True,False,True,True,False,True,False,True,True,True,True,False,True,True,False,True,True,False,True,True,True,True,True,False,False,False,True,True,True,True,False,True,True,False]</t>
  </si>
  <si>
    <t>[True,False,True,True,True,True,False,True,True,False,True,False,True,False,True,True,False,True,True,True,False,False,True,True,False,False,True,False,False,False,False,False,True,False,False,True,True,False,True,True,False,True,False,False,True,True,True,False,False,False,False,True,True,True,False,False,True,True,True,True,True,False,True,True,False,False,True,True,False,True,False,True,False,False,False,True,True,True,False,True,True,True,True,True,False,True,True,True,True,True,True,True,True,False,False,False,True,True,True,False,True,True,True,False,False,False,True,False,True,True,True,True,False,True,False,False,False,True,False,False,False,False,True,True,True,True,True,False,False,True,True,False,True,True,True,False,True,True,True,False,True,True,True,False,True,False,True,False,True,False,False,True,True,True,True,False,False,True,False,False,True,False,True,False,False,False,True,True,False,False,False,True,True,True,False,False,True,True,True,False,False,True,False,False,True,False,False,True,True,False,False,False,False,True,True,False,True,True]</t>
  </si>
  <si>
    <t>[True,False,True,True,True,False,True,True,True,True,True,False,True,True,True,True,False,True,True,True,False,True,True,True,True,False,True,False,False,True,False,False,False,True,False,False,True,True,True,True,False,True,False,False,True,True,True,True,False,True,True,True,True,False,True,True,True,False,True,True,True,True,True,True,False,True,False,True,True,False,True,True,False,False,False,True,True,False,True,True,True,True,True,True,True,True,True,True,False,True,False,True,True,False,True,False,False,False,False,True,False,True,True,True,False,True,False,True,False,True,True,True,True,False,True,True,False,True,True,True,True,False,False,True,False,True,True,True,False,True,True,True,True,True,True,True,True,True,True,False,False,False,True,True,True,False,True,True,True,False,True,False,False,False,True,True,True,False,False,True,True,True,True,False,True,False,False,False,True,True,False,False,False,False,True,True,False,True,True,True,True,False,True,True,False,False,True,True,True,True,False,True,False,True,False,True,False,True,False,True]</t>
  </si>
  <si>
    <t>[False,False,True,False,True,False,True,True,False,False,False,False,True,True,True,False,False,False,False,False,False,True,True,False,False,True,True,False,True,False,False,False,True,False,False,False,False,True,False,True,True,True,False,False,False,True,True,False,False,True,False,True,False,True,False,False,False,False,False,True,False,True,False,False,False,False,True,True,False,True,False,True,False,False,False,True,False,True,False,False,True,True,False,False,True,True,False,False,True,False,False,False,False,True,True,False,False,False,False,False,False,False,True,True,True,True,True,False,False,False,True,False,True,True,False,False,False,False,True,True,True,True,False,True,False,False,False,True,True,True,False,False,False,False,True,True,True,False,True,True,True,True,True,False,True,False,True,True,True,False,False,False,False,False,True,True,False,False,False,False,False,True,False,True,True,False,False,False,False,True,False,False,True,False,False,True,False,True,True,True,True,True,False,True,True,False,True,True,False,False,False,False,True,True,True,True,True,True,True]</t>
  </si>
  <si>
    <t>[False,True,True,False,False,False,False,True,False,True,True,True,False,True,True,True,False,True,False,True,True,True,True,True,False,True,True,True,False,True,True,True,False,True,True,False,False,True,True,True,True,False,False,True,True,True,True,True,False,True,False,True,True,True,True,False,True,True,True,True,True,False,True,True,False,False,True,True,True,False,True,True,True,False,False,True,True,True,True,False,True,True,True,False,False,True,True,True,False,True,True,True,True,True,True,True,False,False,True,False,False,False,False,True,True,True,False,True,True,True,True,False,True,True,True,True,False,False,True,True,False,False,True,False,False,True,True,True,True,True,True,True,False,True,True,True,False,False,True,True,False,False,False,True,True,True,True,True,False,True,False,True,True,False,True,False,True,False,False,True,False,True,True,True,True,True,True,True,True,True,False,True,True,False,True,True,True,False,True,True,True,False,True,True,False,True,False,False,False,True,False,True,True,True,True,True,True,True]</t>
  </si>
  <si>
    <t>[True,True,False,False,True,False,False,True,False,True,False,True,False,False,True,True,True,True,False,True,True,False,True,True,False,True,True,True,False,True,False,True,True,False,True,False,True,True,True,False,True,False,True,False,True,True,True,True,True,True,True,False,True,True,False,True,True,True,True,True,True,True,True,True,False,True,True,True,True,False,True,False,True,True,False,True,True,False,False,False,True,True,False,True,True,True,True,True,True,True,False,True,False,True,True,True,False,True,False,False,True,True,True,True,False,False,True,False,True,True,True,False,True,False,False,False,True,True,True,True,False,True,False,True,True,True,False,True,True,True,False,False,False,True,True,True,True,True,False,False,True,False,True,True,True,False,False,True,False,True,True,True,False,True,True,True,False,True,False,True,True,True,True,True,True,True,False,True,True,False,True,True,True,True,True,True,True,True,True,True,False,False,True,True,False,False,True,True,False,True,False,False,True,True,True,True,True,True]</t>
  </si>
  <si>
    <t>[True,True,True,True,False,True,False,True,False,True,True,False,False,True,True,True,True,False,False,False,True,True,True,True,True,True,False,False,False,True,False,False,False,True,True,True,False,False,True,True,True,True,False,False,True,True,True,True,True,True,False,True,True,True,False,True,True,False,False,False,True,True,True,True,True,True,True,False,True,True,True,True,True,True,False,True,False,True,True,False,True,True,False,True,True,False,False,True,False,True,True,False,False,True,False,True,True,True,True,False,True,False,True,True,True,False,True,True,True,True,True,False,True,True,True,True,True,False,True,False,True,True,False,False,True,True,False,True,True,True,False,False,True,True,False,True,True,False,False,False,True,True,True,True,False,True,True,False,False,False,True,True,True,False,False,True,True,True,True,False,True,False,False,True,True,False,True,False,True,True,False,False,False,True,True,False,True,True,True,False,True,False,True,True,True,True,True,False,False,False,True,True,True,True,True,False,False]</t>
  </si>
  <si>
    <t>[True,True,True,True,True,True,True,True,True,True,False,False,False,True,False,True,False,True,True,True,True,True,False,True,True,True,False,False,True,False,True,True,True,False,True,True,True,True,False,True,False,False,True,False,False,False,False,False,True,False,False,False,True,True,False,True,True,False,True,True,True,True,True,True,True,False,True,True,True,True,False,True,True,False,True,True,False,True,True,False,True,False,False,False,True,False,False,False,False,True,False,True,True,True,True,False,True,True,False,False,False,True,True,True,True,True,True,True,True,True,True,True,True,False,False,True,True,False,True,True,False,False,True,True,False,True,True,True,False,True,False,True,True,False,False,True,False,True,False,True,False,True,True,True,False,True,True,True,True,False,False,True,True,True,True,False,False,False,True,False,True,False,False,False,False,True,True,True,True,False,False,False,False,True,False,False,False,True,False,False,True,True,False,False,True,True,True,False,True,False,True,False,True]</t>
  </si>
  <si>
    <t>[True,True,True,True,False,True,True,True,False,False,True,False,True,True,True,False,True,True,True,True,True,True,True,True,True,True,True,False,True,True,True,True,True,True,True,True,True,True,False,False,True,True,True,False,True,True,True,False,True,False,True,True,True,True,True,True,True,True,True,True,False,True,True,False,False,True,True,True,True,True,True,False,True,True,True,True,True,False,True,True,False,True,True,True,True,True,False,True,False,True,False,True,True,False,True,True,True,True,True,True,True,False,False,False,True,True,True,True,True,True,True,True,True,True,True,True,True,True,True,True,True,True,False,True,False,True,True,True,False,True,True,True,False,True,True,True,True,True,False,False,True,True,True,True,True,True,False,True,True,True,True,True,True,True,True,True,False,True,True,True,True,True,False,False,False,False,True,True,False,True,True,True,True,True,False,False,True,True,False,True,True,False,True,False,True,True,False,True,True,False,True,False,False,True,False,True,False,True,True,True]</t>
  </si>
  <si>
    <t>[False,False,False,False,False,False,False,False,False,False,False,False,False,True,True,False,False,False,False,False,False,True,False,False,True,True,False,False,False,False,True,False,True,True,False,True,False,False,True,False,False,False,False,False,False,False,False,False,False,True,True,True,True,False,False,False,False,True,True,False,False,False,True,True,True,False,False,False,True,False,False,False,False,True,False,True,True,False,True,True,False,False,True,True,True,True,False,True,False,False,False,True,False,True,False,True,True,True,False,False,False,True,True,False,False,True,False,True,False,False,False,False,False,True,True,False,False,False,True,True,False,False,True,True,True,False,False,False,True,False,False,False,True,True,True,False,True,True,True,False,False,True,False,True,False,False,True,True,True,True,False,True,True,True,False,False,True,False,False,True,False,False,False,False,False,False,False,False,False,False,True,True,True,False,False,True,True,True,False,True,True,True,False,True,True,False,True,False,True,False,True,True,False,False,False]</t>
  </si>
  <si>
    <t>[False,False,False,False,False,True,False,False,False,False,False,False,True,False,True,True,False,True,False,False,False,False,True,False,False,True,False,False,False,False,False,False,True,True,True,True,True,False,False,False,False,False,False,False,False,True,False,True,True,True,True,False,False,True,False,False,False,True,True,False,True,False,False,False,False,True,False,False,False,False,True,False,False,False,False,True,False,False,False,False,True,False,True,False,True,True,False,True,False,False,False,False,False,True,True,True,True,True,True,True,True,True,False,True,False,False,True,True,True,True,False,True,False,True,True,True,False,True,True,False,False,True,True,False,False,False,True,True,False,False,False,True,False,False,False,True,True,False,False,False,True,True,True,False,False,True,False,True,False,False,False,False,False,False,False,False,True,False,False,True,False,False,True,True,False,False,True,True,False,True,False,False,False,False,False,False,False,False,False,True,False,True,False,False,False,False,True,True,False,True,True,False,True,False,False,False,False]</t>
  </si>
  <si>
    <t>[True,False,False,True,False,True,False,True,True,False,True,True,True,True,False,True,True,False,True,False,True,True,False,True,True,True,True,False,True,True,False,True,False,False,True,True,True,True,True,False,False,True,True,False,False,False,True,True,True,False,False,True,False,True,True,False,False,False,True,True,False,False,True,False,False,True,False,False,False,False,True,True,True,False,False,False,True,True,False,False,True,True,False,False,True,True,True,True,True,True,True,False,True,True,True,False,True,False,True,True,True,False,True,False,True,False,True,False,True,True,True,True,True,False,True,True,False,True,True,True,False,True,False,True,False,True,False,True,False,True,False,True,True,False,False,False,True,False,True,False,True,True,True,False,True,True,True,False,True,False,True,True,False,False,False,True,True,True,True,False,True,True,False,True,True,True,True,True,True,False,False,False,False,False,False,True,False,True,False,True,True,True,False,True,True,True,True,True,True,False,False,False,True,True,True,True,True,False]</t>
  </si>
  <si>
    <t>[True,False,False,False,False,False,False,False,False,True,False,True,True,False,False,False,False,True,True,False,False,False,False,True,False,False,False,True,False,True,True,True,False,False,True,True,True,False,False,False,False,True,True,False,True,True,False,False,False,True,False,True,False,False,False,True,False,False,False,True,False,False,True,False,True,True,True,True,False,False,False,False,True,False,False,False,True,True,True,False,False,False,True,False,False,True,False,False,True,True,False,False,False,False,True,True,True,False,False,False,True,True,False,False,False,True,False,False,True,False,True,True,True,True,True,True,False,True,True,True,True,False,False,True,True,False,True,False,True,False,True,False,False,True,True,True,True,True,True,True,True,True,False,True,True,False,True,False,False,True,True,False,False,True,False,False,True,False,True,True,False,False,False,False,True,False,False,False,False,False,True,True,False,False,False,False,False,True,True,False,True,False,False,False,True,True,False,True,False,False,False,False,True,False,False,False,False,False,True,False]</t>
  </si>
  <si>
    <t>[True,False,False,True,False,True,False,True,True,True,False,True,True,False,True,False,True,True,True,True,True,True,True,True,True,False,True,True,True,True,True,True,False,True,True,True,True,False,True,False,False,False,True,False,True,True,True,True,True,True,True,True,True,True,True,True,True,True,True,True,True,True,True,True,True,False,True,True,True,True,False,True,False,True,True,True,True,True,True,False,True,False,True,True,True,True,True,False,True,True,True,True,True,True,True,False,True,True,False,False,True,False,True,True,True,False,False,False,False,True,True,True,True,True,True,True,False,False,True,True,True,True,True,True,True,True,True,True,True,False,True,True,True,True,True,False,False,True,True,True,True,True,True,True,True,True,True,False,True,True,True,True,True,True,False,True,True,False,True,True,False,False,True,False,True,False,True,False,False,False,True,False,True,True,True,True,False,True,True,True,True,True,True,True,True,True,True,True,False,True,False,False,False,False,False,False,True,True,False,True]</t>
  </si>
  <si>
    <t>[True,True,False,True,True,True,True,True,True,True,True,True,True,True,True,False,True,True,True,False,True,False,True,True,True,False,True,True,True,True,False,True,True,True,True,True,True,True,True,False,True,True,False,False,True,False,True,False,True,True,True,True,True,True,True,True,True,True,False,True,True,True,True,True,True,True,True,True,True,False,False,True,False,True,True,False,True,True,True,True,True,True,True,True,False,True,False,True,True,True,True,True,False,True,True,True,True,True,False,False,False,True,False,True,True,True,False,False,False,True,True,True,True,True,True,True,True,True,True,True,True,True,True,True,True,True,True,False,True,False,True,True,True,True,True,False,True,True,True,False,True,True,True,True,True,True,True,True,True,True,True,True,False,False,False,True,True,True,True,True,True,True,True,False,True,True,True,False,True,False,True,True,True,True,True,True,True,True,True,False,True,False,False,True,True,True,True,True,True,True,True,False,True,True,True,False,False,False,True,True]</t>
  </si>
  <si>
    <t>[True,True,True,True,True,True,True,True,True,True,True,True,True,False,True,True,True,False,True,True,True,True,True,True,True,True,True,True,True,True,True,True,False,True,True,False,True,True,True,True,True,False,True,False,True,False,True,True,True,True,True,True,True,True,True,True,True,True,False,False,True,True,True,False,False,True,True,True,True,True,True,False,True,True,True,True,True,True,True,True,True,True,True,True,True,True,True,True,True,True,True,True,True,False,True,True,True,True,True,True,True,True,True,True,True,False,True,True,True,True,True,True,True,True,True,True,True,True,True,True,True,True,True,True,True,False,True,True,True,True,False,True,True,True,True,True,True,False,True,True,True,True,False,True,True,True,True,True,True,True,False,True,True,False,True,True,True,True,True,True,True,True,True,True,True,True,True,True,True,True,True,True,True,True,True,True,False,True,True,True,True,True,True,True,True,False,True,True,False,True,True,True,True,True,True,False,False,True,True,True]</t>
  </si>
  <si>
    <t>[False,False,False,False,True,True,False,False,True,False,False,False,False,False,False,True,False,True,True,True,False,False,False,True,False,True,True,False,False,False,True,False,False,False,True,False,True,True,True,False,False,True,False,False,True,False,True,False,False,False,False,False,False,False,False,True,True,False,True,False,True,False,False,False,False,True,True,False,True,False,False,True,False,True,False,True,False,True,True,True,True,False,False,True,True,False,False,True,True,True,False,True,True,False,True,False,True,False,True,False,True,False,False,False,True,True,False,False,True,True,True,False,False,True,False,False,False,False,True,False,False,True,True,True,True,False,True,True,True,True,True,False,False,False,False,False,False,True,True,False,False,False,False,True,False,True,True,False,False,True,True,True,True,False,True,False,False,True,False,False,False,True,True,True,False,False,False,False,True,False,False,False,False,False,False,True,False,True,False,False,True,False,True,True,False,False,False,False,False,True,True,False,False,True,True,False,False,True,False,False]</t>
  </si>
  <si>
    <t>[True,False,False,True,True,True,True,False,True,False,False,True,True,True,True,True,True,True,True,False,False,True,True,True,True,True,True,False,False,True,True,False,False,False,True,True,True,False,False,True,True,True,True,True,False,True,True,True,False,True,False,True,True,True,True,False,True,True,True,True,True,True,True,False,True,True,True,False,True,True,True,True,False,False,True,True,True,False,True,True,True,True,True,False,False,False,True,True,True,True,False,True,False,True,True,True,False,True,False,True,False,False,False,True,True,True,False,True,True,True,False,True,True,False,True,True,False,True,True,False,True,True,True,True,False,False,True,True,True,True,True,True,True,True,False,True,True,True,True,True,False,False,True,True,True,True,False,True,True,True,True,True,True,True,True,True,True,False,True,True,True,True,True,True,False,False,False,True,True,True,True,True,False,False,False,False,True,False,False,True,False,True,True,True,False,True,True,False,False,True,False,True,False,False,True,True,False,False,False]</t>
  </si>
  <si>
    <t>[False,True,True,True,False,False,False,False,False,True,True,False,False,False,True,False,True,False,True,False,True,True,True,False,True,False,True,True,False,True,False,False,False,True,False,True,True,True,False,False,True,False,True,True,True,False,True,True,True,False,True,True,False,False,True,True,False,True,True,True,True,False,True,True,True,True,True,False,True,True,True,True,True,True,True,False,True,True,True,False,True,False,False,True,True,True,False,True,True,False,False,False,True,False,False,True,False,True,False,True,True,False,False,False,False,True,True,False,True,False,True,True,True,False,True,True,False,True,False,False,False,True,True,False,True,False,True,True,False,True,False,False,False,True,True,False,True,False,True,False,True,False,False,False,False,False,False,False,True,True,False,False,False,False,False,True,False,True,True,False,True,False,True,True,False,True,True,True,False,False,False,False,True,False,False,False,True,True,True,False,False,True,False,False,False,True,False,True,True,True,False,True,False,True,False,True,True,False]</t>
  </si>
  <si>
    <t>[True,True,True,False,False,True,False,False,True,False,False,True,False,True,False,False,False,False,True,False,True,False,False,False,True,True,False,True,False,True,False,False,False,True,False,False,True,True,False,True,False,False,False,False,False,False,False,True,True,True,True,False,True,False,False,False,False,False,False,False,True,True,False,True,False,False,False,False,False,False,True,False,True,True,False,True,False,False,False,True,True,False,True,False,True,False,True,True,False,True,True,False,False,True,True,False,True,False,True,False,True,True,False,True,True,False,True,True,False,False,True,True,True,True,False,False,True,True,True,False,True,True,False,False,True,False,True,False,True,True,False,True,True,False,True,True,True,True,True,False,False,False,False,False,False,True,False,True,False,True,True,True,False,False,True,False,False,True,True,True,True,True,True,False,True,False,True,False,False,False,True,True,False,True,False,False,True,False,True,True,False,False,False,False,True,False,False,True,False,False,True,False,False,False,False,True,False,False,True,True]</t>
  </si>
  <si>
    <t>[True,False,False,True,True,True,True,False,True,False,True,False,True,False,True,True,False,True,False,True,True,True,False,True,True,True,True,True,False,True,False,True,True,False,True,True,True,False,True,False,True,True,True,True,True,False,True,False,True,True,True,True,True,True,True,True,False,True,False,True,True,True,True,True,False,True,False,True,False,True,True,False,True,False,True,True,False,True,False,False,True,True,True,False,True,True,True,True,True,True,True,False,False,True,True,False,True,False,False,False,False,False,True,True,True,True,False,True,False,True,False,True,False,False,False,True,True,True,False,False,False,True,False,False,False,True,True,False,True,True,True,False,True,True,False,True,False,True,True,True,True,False,False,False,False,True,True,True,True,True,True,False,False,True,True,True,True,False,True,True,True,True,False,True,True,False,True,False,True,True,True,True,False,True,True,True,True,False,True,False,True,True,True,True,True,True,False,False,False,True,True,False,False,True,True,False,False,False,True,True]</t>
  </si>
  <si>
    <t>[True,False,False,False,False,False,True,False,False,False,False,False,False,False,True,True,False,True,True,False,False,False,True,True,False,False,False,True,True,False,True,False,False,False,True,False,False,False,True,True,False,False,False,False,True,False,False,True,False,True,True,True,True,False,False,False,True,True,False,False,True,False,False,False,False,False,False,True,False,True,False,True,True,False,True,False,False,False,False,False,True,False,False,True,True,False,False,False,True,False,True,False,False,False,False,False,True,True,False,False,False,False,True,False,False,False,False,True,False,True,False,False,True,False,True,True,False,True,False,False,False,False,True,False,False,False,False,True,False,False,True,True,False,False,True,True,False,False,True,False,False,True,False,False,True,False,False,False,False,True,False,False,False,False,True,False,True,False,False,False,True,False,True,True,False,True,False,False,True,False,False,False,False,True,False,False,False,True,False,True,False,False,False,False,False,False,True,False,True,False,False,True,False,False,True,False,False,False,False,False]</t>
  </si>
  <si>
    <t>[False,False,False,False,False,False,False,True,False,True,True,False,False,False,True,False,False,False,False,False,False,False,False,False,False,False,False,False,True,False,False,False,False,False,False,False,False,True,False,False,False,False,False,False,False,False,False,True,False,False,False,False,False,False,False,True,True,False,False,False,True,False,False,False,False,False,False,True,False,True,False,False,False,False,False,False,True,False,False,False,False,True,True,False,False,False,True,False,False,False,False,False,False,False,True,False,False,False,False,False,False,False,False,True,False,False,False,False,False,False,False,False,False,False,False,False,False,False,False,False,False,True,True,False,False,False,True,False,False,False,False,True,False,True,True,False,True,False,False,False,False,True,False,True,False,False,False,False,False,False,False,False,False,False,True,False,True,False,False,False,False,False,False,False,False,False,False,False,False,False,False,False,True,False,False,False,False,False,False,True,False,True,False,False,False,False,False,False,False,True,False,True,True,False,True,False,False,False,False,False]</t>
  </si>
  <si>
    <t>[True,False,False,False,False,False,False,True,True,False,True,True,True,True,True,False,False,False,True,False,True,False,False,True,False,False,False,False,False,False,False,True,False,False,False,True,False,False,True,True,True,True,False,False,False,False,False,True,False,False,False,True,False,False,False,True,True,False,False,False,True,False,False,True,True,False,False,False,False,False,False,False,True,True,True,False,True,False,False,False,False,True,False,False,False,False,True,False,True,False,False,False,True,False,True,True,False,False,False,False,False,True,False,False,False,False,False,False,False,True,True,True,True,False,False,True,True,False,True,False,False,False,True,False,True,False,False,True,False,True,False,True,True,True,True,True,True,True,False,False,True,False,False,False,False,False,False,False,False,True,True,True,False,True,False,True,True,True,False,False,False,False,False,True,True,False,False,False,False,True,False,False,True,True,True,False,False,True,False,True,False,True,False,True,False,False,False,False,False,True,False,True,True,False,True,True,False,False,True,False]</t>
  </si>
  <si>
    <t>[False,False,True,False,False,True,False,True,False,False,False,False,False,True,False,True,True,True,True,False,False,False,False,False,False,False,False,True,False,False,True,False,False,True,True,True,False,False,False,False,False,False,False,False,False,True,False,False,False,False,False,False,True,False,True,True,True,True,True,False,False,False,False,True,False,True,True,False,False,False,True,False,False,True,False,True,False,False,True,True,False,False,False,False,False,False,True,False,False,False,True,False,True,False,False,False,False,False,False,True,True,True,False,False,False,False,True,False,True,False,False,True,True,False,False,False,True,False,False,False,False,False,False,False,False,False,False,True,False,False,True,False,True,False,False,False,False,False,False,True,False,False,False,False,True,False,False,False,False,False,False,False,False,False,False,True,False,True,True,False,False,True,True,False,False,True,False,True,False,False,False,False,False,True,False,False,False,True,False,True,False,True,False,False,False,False,True,False,False,True,True,True,False,True,True,False,False,False,False,True]</t>
  </si>
  <si>
    <t>[False,False,False,False,False,False,False,False,True,False,False,False,False,False,True,True,True,True,False,False,False,False,False,False,False,False,False,False,False,False,True,False,False,False,True,True,True,False,False,False,False,False,False,False,False,False,False,False,False,False,False,False,True,True,True,True,True,True,False,False,False,False,False,False,False,True,False,False,True,False,True,False,False,True,False,False,False,False,False,False,False,False,True,False,False,False,True,False,False,False,True,True,True,False,False,True,False,False,False,False,True,False,False,False,False,False,True,False,False,False,False,False,False,False,False,False,True,True,False,False,False,False,False,False,False,True,False,False,False,False,False,False,False,False,False,False,False,False,False,False,False,False,False,False,False,False,False,False,False,False,False,False,False,False,False,False,True,True,False,False,False,True,False,False,False,False,True,False,False,False,True,False,True,False,False,True,False,True,False,False,False,False,False,False,False,False,False,False,False,True,False,False,True,False,False,False,False,True]</t>
  </si>
  <si>
    <t>[False,True,True,False,True,True,False,True,True,False,False,False,False,True,True,False,False,True,False,False,False,False,False,False,False,False,False,False,False,True,True,False,False,True,False,True,True,True,True,False,True,False,True,True,True,False,False,True,False,True,True,True,True,True,False,True,True,True,True,False,False,False,False,False,False,True,True,True,True,True,True,False,False,True,False,False,False,False,False,False,False,False,True,False,False,True,True,False,False,False,False,True,True,True,False,True,True,False,True,True,True,True,True,False,True,False,True,False,False,False,True,True,True,False,False,False,True,True,False,False,True,False,True,True,False,True,False,False,False,False,True,True,True,True,False,True,False,False,False,True,False,False,False,False,False,True,True,False,False,False,False,False,True,False,False,False,False,True,True,False,False,False,True,True,False,False,True,True,False,False,True,True,False,True,False,True,True,True,False,True,True,False,False,False,False,False,False,False,False,True,False,True,False,False,True,False,True,True,True,True]</t>
  </si>
  <si>
    <t>[False,False,False,False,False,False,False,False,False,False,False,False,False,True,False,False,False,False,False,False,False,False,False,False,False,False,False,False,False,False,False,False,False,False,False,False,False,False,False,Tru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]</t>
  </si>
  <si>
    <t>[False,False,True,False,False,False,False,False,False,False,False,False,False,False,False,False,False,False,False,False,False,True,True,False,False,False,False,False,False,False,True,True,False,False,False,False,True,True,False,False,False,False,False,False,False,False,False,False,True,False,False,False,False,False,True,False,False,True,False,False,False,False,False,False,False,False,False,False,False,False,True,False,False,False,True,True,False,False,True,False,False,True,False,False,False,False,False,False,False,False,False,False,False,False,False,False,False,False,False,True,False,False,False,False,False,False,False,False,False,False,False,False,False,False,False,False,False,False,False,False,False,False,False,False,False,False,False,False,True,False,False,False,False,False,False,False,False,False,False,False,False,True,False,True,False,True,False,True,False,True,False,False,False,False,False,False,True,False,False,False,False,False,False,True,True,False,True,False,True,False,False,False,False,False,False,False,False,False,False,False,False,False,False,False,False,False,False,False,False,False,False,False,False,False,False,False,True,True]</t>
  </si>
  <si>
    <t>[False,False,False,False,False,False,False,True,False,False,False,False,False,False,False,False,False,False,False,True,False,True,True,False,False,False,False,False,True,False,True,True,False,False,False,False,True,True,False,False,False,False,False,False,False,False,False,False,False,True,False,False,False,True,False,False,False,True,True,False,True,False,False,False,False,False,False,False,False,False,True,False,False,False,True,True,False,False,False,False,False,True,True,False,False,False,False,True,False,False,False,False,True,False,False,False,False,False,True,False,False,True,False,False,False,False,False,False,False,False,False,False,True,False,False,False,False,False,True,True,False,False,False,False,False,False,False,False,False,False,False,False,False,True,True,False,False,False,False,True,False,False,False,False,True,True,False,False,False,False,False,False,False,False,False,False,False,False,False,True,False,False,False,False,True,False,False,False,False,True,False,False,True,False,True,False,True,False,False,False,False,False,False,False,False,False,False,False,False,False,True,False,False,False,True,False,False,True,True]</t>
  </si>
  <si>
    <t>[True,False,False,False,False,False,False,False,False,False,False,False,True,False,True,False,False,False,False,False,False,False,False,False,True,False,False,True,True,False,True,False,False,False,False,False,False,False,False,False,False,True,False,False,False,True,False,True,False,False,False,False,False,True,False,False,False,False,False,False,False,True,True,False,False,True,False,False,False,False,False,False,False,True,False,False,False,False,True,False,False,False,False,False,False,False,False,False,False,False,False,False,False,False,False,False,False,True,True,False,False,False,False,False,True,False,False,False,False,False,False,True,False,False,False,True,False,False,False,False,False,False,False,True,False,False,False,False,True,False,False,True,True,False,False,False,True,False,True,False,False,False,False,False,False,False,False,True,False,False,False,False,False,False,False,False,False,True,False,False,False,False,False,False,False,True,False,False,True,False,False,True,False,False,False,False,False,False,False,False,True,False,True,False,False,False,False,False,False,False,False,False,False,False,False,False,False,True,False]</t>
  </si>
  <si>
    <t>[False,False,False,False,False,False,False,True,False,False,False,False,False,False,False,False,False,True,Tru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True,False,False,False,False,True,True,False,False,False,False,False,False,False,True,False,False,False,False,False,False,False,False,False,True,False,False,False,False,False,False,False,False,False,False,False,False,False,False,False,False,False,False,False,False,False,False,False,False,False,False,False,False,False,False,True,False,False,False,False,False,False,False,False,False,False,False,False,True,False,False,True,False,False,False,False,False,True,False,False,False,False,False,False,False,False,True,False,True,False,False,False,False,True,False,False,False,False,False,False,False,False,False,False,True,False,False,False,False,False,False,False,False,False,False,False,False,False,True,False,False,False,False,False,False]</t>
  </si>
  <si>
    <t>[False,True,False,False,True,False,False,True,False,False,False,False,True,False,False,True,False,True,True,True,False,False,False,False,True,True,False,False,True,False,True,False,False,False,False,False,True,False,False,False,False,True,False,False,True,False,True,False,False,False,False,False,False,False,True,True,False,True,True,False,False,False,False,False,False,False,False,False,False,True,False,False,False,True,False,True,False,True,False,True,True,True,False,False,False,False,False,True,False,True,False,False,False,False,False,True,False,False,False,True,False,False,False,False,False,True,False,False,True,False,True,True,True,False,True,False,True,True,False,True,False,False,False,False,False,False,True,False,True,True,True,False,False,True,False,False,True,False,True,False,True,True,False,False,True,False,False,False,False,True,True,False,False,True,False,False,False,False,False,True,False,True,False,True,True,False,False,False,True,True,False,False,True,False,False,False,True,False,False,True,False,True,False,True,False,True,False,False,True,True,False,False,False,True,False,False,False,False,False,True]</t>
  </si>
  <si>
    <t>[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]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</si>
  <si>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True,False,False,False,False,False,False,False,False,False,False,False,False]</t>
  </si>
  <si>
    <t>[False,False,False,False,False,False,False,True,False,False,False,True,False,True,False,False,False,False,False,False,True,False,False,False,False,False,False,Fals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True,False,False,False,False,False,False,False,False,False,False,False,False,False,False,False,False,False,False,False,False,False,False,False,False,False,False,False,False,True,False,False,False,False,False,True,False,False,False,False,False,True,False,False,False,False,False,False,True,False,False,False,False,False,False,False,False,False,False,False,False,False,False,False,False,False,False,False,False,False,False,False,False,False,False,False,False,False,True,False,False,False,False,False,False,False,True,False,False,False,False,False,True,True,False,False,False,True,False,False]</t>
  </si>
  <si>
    <t>[True,False,False,True,False,False,True,True,True,False,False,True,False,False,False,True,True,False,True,True,False,False,True,False,True,True,False,False,False,False,True,False,False,True,False,False,True,False,True,True,False,False,True,False,False,True,False,False,False,False,True,True,False,False,False,False,False,True,False,False,False,True,True,True,False,True,False,False,False,True,False,True,False,False,False,False,True,True,False,False,True,False,True,False,False,False,False,False,False,True,False,False,False,False,False,False,False,False,True,False,True,False,False,False,True,False,False,False,False,False,True,False,True,False,False,False,False,True,False,False,False,True,False,False,False,True,True,False,False,True,False,False,False,True,False,False,True,False,False,False,False,False,True,False,False,True,False,False,False,True,True,False,False,True,False,False,False,False,False,True,True,False,False,False,True,False,True,True,False,False,True,True,True,False,True,False,False,True,False,False,False,True,False,False,False,True,False,True,False,True,False,False,False,False,True,False,False,False,False,False]</t>
  </si>
  <si>
    <t>[False,True,False,True,False,False,True,True,False,False,False,False,False,False,False,True,True,True,False,False,False,True,True,True,False,False,True,True,False,False,True,True,True,True,False,False,False,False,True,True,False,True,True,True,False,True,True,False,True,False,False,False,False,False,True,True,True,False,False,True,False,True,False,True,False,False,False,False,True,False,False,True,True,True,False,True,False,True,True,True,False,False,False,False,False,False,False,False,False,True,True,False,True,False,False,False,False,False,True,True,True,True,False,True,False,False,False,False,True,True,False,False,True,False,True,False,False,True,False,True,True,True,True,False,True,True,True,False,False,True,False,False,False,False,True,False,False,False,False,False,True,False,True,False,True,False,True,False,True,False,False,False,False,True,True,True,False,False,False,False,False,False,True,False,False,False,True,True,False,False,False,False,True,True,True,True,False,True,False,False,False,True,True,False,False,True,True,True,True,True,True,False,False,False,True,True,True,False,False,True]</t>
  </si>
  <si>
    <t>[True,True,True,True,True,False,True,False,True,False,False,True,True,False,False,True,True,True,False,False,False,True,True,True,True,False,False,True,False,True,True,True,True,True,False,False,False,False,False,True,True,False,True,True,True,False,True,False,True,True,False,False,True,False,True,True,True,False,True,True,True,True,True,True,False,False,False,False,True,True,False,True,True,True,False,True,False,True,True,True,False,False,False,True,False,True,True,False,True,True,True,False,True,True,True,False,False,True,True,True,True,True,True,False,False,False,True,False,True,False,False,True,True,False,True,True,True,False,False,True,True,True,True,False,True,False,False,False,True,True,False,False,False,False,True,False,True,False,True,True,True,True,True,False,True,True,True,True,True,True,False,True,False,False,True,True,False,False,False,True,False,False,False,False,False,True,True,True,True,False,True,False,True,False,True,True,False,True,True,True,False,True,False,True,False,False,True,True,True,True,True,True,True,False,True,True,False,True,True,True]</t>
  </si>
  <si>
    <t>[True,True,True,True,False,False,True,True,True,False,False,True,False,False,False,False,True,True,True,True,True,True,False,True,True,True,True,False,False,True,True,True,True,False,True,True,True,False,True,True,True,False,False,False,False,True,True,False,False,False,False,True,False,False,False,True,True,True,False,True,True,False,True,False,False,False,False,False,True,True,False,True,True,False,True,True,False,True,True,False,False,True,True,True,True,False,False,False,False,True,True,False,True,False,True,True,True,False,True,False,False,True,False,True,True,True,True,False,False,False,False,True,True,True,True,True,False,False,True,False,False,True,True,True,True,False,True,False,True,True,True,True,False,False,False,True,True,False,True,True,False,True,True,False,False,False,False,False,True,False,False,True,False,False,False,False,True,True,True,True,True,True,False,False,False,True,False,False,True,False,False,False,False,True,True,True,True,True,False,False,True,False,True,True,False,True,False,False,True,False,True,True,False,True,True,False,False,False,True,True]</t>
  </si>
  <si>
    <t>[True,False,True,True,False,False,False,False,False,False,False,False,False,True,False,False,False,False,False,False,True,False,True,False,True,True,False,False,False,True,False,False,False,True,True,False,True,True,True,False,True,False,False,False,True,True,False,False,False,False,True,True,False,True,True,True,False,True,False,False,False,True,False,False,False,False,False,True,True,False,True,True,False,False,False,False,False,False,False,False,True,True,True,False,False,True,False,True,False,True,True,False,True,False,False,True,True,False,True,False,False,True,True,True,False,True,False,False,False,False,False,True,False,True,False,True,False,True,False,True,True,False,True,True,False,False,True,False,True,True,False,True,False,True,True,True,True,False,False,True,False,False,False,False,False,False,False,False,False,False,True,False,False,False,True,False,False,True,True,True,False,True,True,False,False,True,False,False,True,False,True,False,False,False,True,True,True,False,False,False,True,False,True,True,True,True,False,True,False,False,True,False,True,False,False,False,False,False,True,True]</t>
  </si>
  <si>
    <t>[True,False,True,False,True,False,False,False,False,True,False,False,False,False,False,True,True,True,False,True,False,False,True,False,True,True,False,False,False,False,True,False,False,False,True,True,True,False,True,True,True,True,False,False,True,True,True,False,False,False,False,False,True,True,True,True,False,True,False,True,True,True,False,True,True,False,True,True,True,False,True,True,True,True,True,True,False,True,True,True,False,True,True,False,True,True,True,False,True,True,True,True,True,False,True,True,True,True,True,False,True,False,True,True,False,True,True,True,True,False,True,True,True,False,True,True,True,True,True,False,True,True,True,True,True,True,True,True,False,True,False,True,False,True,True,True,True,True,True,True,False,True,True,True,True,False,False,False,True,True,True,False,False,True,True,True,False,True,True,True,False,False,False,False,False,True,False,False,True,False,True,False,False,True,True,True,True,True,True,False,True,True,False,False,True,True,False,True,True,False,False,False,False,True,False,False,True,True,True,True]</t>
  </si>
  <si>
    <t>[True,False,False,False,False,False,True,False,True,False,False,True,True,False,True,False,True,False,False,False,False,True,False,False,False,False,True,True,False,False,False,False,False,True,False,False,False,False,False,True,False,False,False,True,True,False,False,True,True,True,False,False,False,False,False,True,False,False,False,False,False,False,False,True,False,True,False,False,False,True,False,False,False,False,False,True,True,False,False,True,True,False,False,False,False,False,False,False,False,True,True,False,False,True,False,False,True,False,True,False,True,False,True,False,False,False,False,True,False,True,False,False,False,True,True,False,True,True,False,False,False,True,False,False,False,True,True,False,False,False,True,True,True,True,True,False,False,False,True,False,False,True,True,True,False,False,False,False,True,True,False,True,False,False,True,False,True,True,True,False,False,False,False,True,True,False,False,False,True,False,True,False,True,True,False,False,True,False,True,True,False,False,True,False,False,True,True,False,False,False,True,False,True,True,False,False,True,True,False,True]</t>
  </si>
  <si>
    <t>[False,False,True,False,False,True,False,False,False,False,False,True,False,True,True,False,False,False,False,False,False,False,False,True,True,False,True,False,True,False,False,True,False,False,False,False,False,False,True,True,False,False,False,False,True,False,True,True,False,False,False,False,False,False,False,False,False,True,False,False,True,False,False,True,False,False,False,True,True,True,True,False,True,True,True,True,False,False,True,True,True,True,True,False,False,False,True,True,True,True,True,False,False,True,True,True,True,False,False,False,False,False,True,False,True,False,True,False,False,True,True,True,True,True,True,False,False,True,True,False,False,True,True,False,False,False,False,True,True,True,True,False,False,True,False,True,True,False,False,False,False,True,False,False,False,False,True,False,True,False,False,False,False,True,True,True,True,False,True,True,False,True,True,True,False,True,False,True,True,True,False,False,True,False,False,True,False,True,False,False,True,True,False,True,False,True,True,True,False,False,False,True,False,True,False,True,True,True,True]</t>
  </si>
  <si>
    <t>[False,False,True,False,False,True,False,False,True,False,False,True,False,True,True,True,False,False,True,False,True,True,False,True,True,True,True,False,True,False,True,True,True,False,True,False,False,False,True,False,False,True,False,True,False,True,True,True,False,True,True,False,False,True,False,False,True,False,False,False,True,False,True,True,True,False,False,True,False,True,True,False,True,True,True,False,False,True,True,False,True,True,True,True,True,False,False,False,False,True,True,False,True,True,True,True,True,False,False,False,True,False,True,True,False,False,True,True,False,True,False,True,True,True,True,False,True,True,True,True,False,False,True,True,False,False,True,True,True,False,False,False,True,True,False,False,True,True,False,False,True,True,True,True,False,False,False,True,False,True,False,False,False,False,True,True,True,False,False,False,True,True,True,True,True,False,False,False,True,True,True,False,False,True,False,True,True,False,True,True,True,False,True,True,False,True,False,False,False,False,False,True,False,True,True,False,False,True,True,False]</t>
  </si>
  <si>
    <t>[True,False,True,False,False,True,False,False,False,False,True,False,False,Tru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True,False,False,False,False,False,False,False,False,True,True,False,False,False,False,False,False,False,False,False,False,False,False,False,False,False,False,False,False,False,False,False,False,False,False,False,True,False,False,False,True,False,False,True,False,False,False,False,False,False,False,False,True,False,False,False,False,True,False,False,False,True,False,False,False,False,False,False,False,False,False,False,False,False,False,False,False,False,False,False,False,False,False,True,False,False,False,False,False,False,False,False,False,False,False,False,False,False,False,False,False,True,False,False,True,False,False,False,False,True,False,True,False,False,False,False,False,False,False,False,False,False,False,False,False,False,True,False,False,False,True,False,False,False,True,False,True]</t>
  </si>
  <si>
    <t>[False,False,True,False,False,False,False,False,False,False,False,False,False,True,False,False,True,False,False,False,True,True,True,False,True,False,True,False,False,False,True,True,False,False,False,False,True,False,True,True,False,False,False,False,False,False,True,True,True,True,False,True,True,True,False,False,False,False,True,False,False,True,False,True,True,True,False,False,True,False,False,True,True,True,False,True,True,True,True,False,False,True,False,False,False,False,False,False,True,True,True,False,False,True,False,False,True,False,False,True,True,True,False,False,False,False,True,False,False,False,False,True,True,False,False,True,True,False,True,False,False,False,False,False,False,True,False,False,True,True,True,False,False,False,False,True,False,False,True,False,False,True,False,False,True,False,True,False,False,False,False,False,True,True,True,True,False,False,True,False,True,False,True,False,False,False,False,True,True,False,False,False,False,False,True,True,False,False,False,True,False,False,False,False,False,False,False,False,False,True,True,True,False,False,True,True,False,False,False,False]</t>
  </si>
  <si>
    <t>[True,True,False,True,False,False,True,False,False,True,False,False,False,True,True,True,True,False,True,False,True,True,True,False,False,False,True,False,False,True,True,True,False,False,False,False,False,False,True,True,True,True,True,True,False,False,True,False,True,True,False,False,False,True,True,False,True,False,True,False,True,True,False,True,True,False,True,True,False,True,False,False,True,True,False,True,False,False,True,True,True,True,False,False,False,True,True,False,False,True,True,False,True,True,False,False,True,False,True,False,False,False,True,True,False,True,True,False,False,False,False,True,True,False,False,True,True,False,True,True,False,False,True,False,False,True,False,False,True,True,False,False,True,False,True,True,True,False,True,False,False,True,True,False,False,False,True,False,False,False,False,True,True,True,True,True,False,True,False,False,True,False,True,False,False,True,True,True,True,False,False,False,False,True,True,True,True,False,False,True,False,False,False,False,False,False,False,False,True,True,True,True,True,False,True,True,False,False,True,False]</t>
  </si>
  <si>
    <t>[True,True,False,True,False,False,False,False,True,True,False,True,False,False,False,False,True,False,True,True,False,True,True,False,False,False,False,True,False,False,True,True,False,False,False,False,False,False,False,False,True,False,True,True,False,False,True,True,False,False,True,True,True,False,False,True,False,False,False,False,True,True,False,True,False,True,True,False,False,True,False,False,True,False,True,False,True,True,False,False,True,False,False,True,True,True,True,False,True,False,True,True,True,False,True,False,False,True,False,True,False,False,False,True,False,False,False,False,True,False,True,False,False,False,False,False,False,True,True,True,False,False,False,True,False,False,True,False,True,False,True,False,True,True,False,False,True,False,True,True,False,True,False,True,False,False,True,True,True,True,False,False,False,False,True,False,False,True,False,False,False,False,True,True,False,True,False,True,False,False,False,True,False,True,False,True,True,True,False,True,False,True,True,True,False,True,False,False,False,True,False,False,False,True,False,False,False,False,False,False,False,True,True,False,False,False,True,True,False,True,True,False,False,False,True,False,False,True,True,True,False,True,False,False,False,True,False,False,False,False,True,True,False,False,False,True,True,False,False,True,False,False,True,False,True,False,False,False,True,False,True,False,True,False,True,False,False,True,False,True,False,False,False,True,False,True,True,False,True,False,True,True,True,True,False,True,False,False,True,True,True,False,False,True,False,True,True,False,True,False,True,True,True,False,True,True,False,True,False,False,False,True,True,True,False,True,False,False,True,False,False,False,False,True,True,False,True,False,False,False,True,False,False,False,False,False,True,False,False,True,True,False,True,True,True,False,False,True,False,True,False,False,False,False,False,False,True,False,False,True,False,False,False,True,True,True,False,False,False,True,False,True,False,False,True,True,True,False,True,True,False,True,False,True,False,False,False,False,False,False,False,False,False,False,False,True,False,False,True,False,False,True,False,False,True,True,True,True,True,True,False,False,False,True,True,False,False,False,False,True,False,False,False,False,False,False,True,True,False,False,False,False,False,True,False,False,False,True,False,True,False,True,True,False,False,False,True,True,True,True,False,False,True,True,False,True,True,True,True,True,False,True,False,False,False,True,False,False,False,False,False,False,False,False,True,False,False,False,False,True,True,True,False,False,True,True,False,True,False,False,True,True,False,False,False,True,False,True,True,False,True,False,True,True,True,False,False,False,False,False,False,False,False,True,True,False,False,False,False,False,True,True,False,False,True,False,False,False,False,True,True,False,False,False,True,False,False,True,False,True,True,False,False,False,True,True,True,False,False,False,False,False,True,False,False,False,False,False,False,True,False,False,True,False,False,True,False,False,True,False,False,True,False,False,False,False,True,True,False,False,False,False,False,True,True,False,False,False,False,True,True,False,True,True,False,False,False,False,True,True,False,True,True,False,False,False,True,False,False,False,False,True,True,False,False,False,False,True,False,True,False,False,True,False,False,False,True,False,False,True,False,True,True,True,False,True,True,False,True,True,False,True,False,True,False,True,True,True,True,False,True,True,False,False,True,False,False,False,True,False,False,False,False,False,False,False,False,True,True,False,True,False,True,False,False,False,False,True,False,True,True,False,True,False,True,True,True,True,False,True,False,False,True,False,False,True,False,True,True,False,False,True,False,False,False,False,True,False,False,False,False,True,False,False,False,True,True,True,False,False,True,False,True,False,True,True,False,False,False,True,True,True,True,True,False,False,False,False,False,False,False,True,True,True,False,False,False,True,False,False,False,True,False,False,False,False,False,True,True,False,False,True,False,False,False,False,True,False,True,False,False,False,False,True,False,False,True,True,True,False,True,False,True,False,True,False,False,True,False,False,False,True,False,False,False,False,True,False,True,False,True,False,False,True,False,False,False,False,False,True,False,False,True,False,False,True,False,False,False,False,False,False,True,True,False,False,False,False,False,False,True,True,False,False,False,True,False,True,True,True,False,False,False,False,True,False,True,False,True,False,False,False,True,True,False,False,False,True,False,False,True,False,True,True,True,False,True,False,True,True,False,True,True,False,False,False,False,True,False,True,True,False,False,False,False,False,True,False,False,False,True,False,False,False,False,False,False,False,False,False,False,True,True,False,True,False,True,False,True,False,False,False,True,True,False,True,False,False,True,False,False,False,False,False,False,False,False,True,False,False,True,False,True,False,False,False,False,True,True,False,False,True,False,False,False,False,False,False,False,False,False,False,False,False,False,False,True,False,False,True,True,False,True,True,True,True,True,False,True,True,True,True,False,False,True,True,False,True,True,False,True,True,True,True,False,False,False,False,False,False,True,False,True,False,False,False,False,False,False,True,False,True,False,False,False,True,True,False,False,False,False,False,True,False,False,True,False,False,True,False,False,True,False,True,True,True,True,False,False,False,False,True,False,False,False,False,False,False,True,False,False,False,True,True,False,False,True,False,False,True,True,False,False,False,True,True,False,True,False,True,True,False,False,True,False,False,False,False,True,False,True,False,False,False,False,True,False,False,True,False,False,True,True,False,False,False,True,True,True,True,False,True,False,False,True,False,True,True,True,True,False,False,False,False,True,True,True,False,True,True,False,False,False,False,True,False,True,False,False,True,True,True,False,False,False,True,False,True,False,True,False,False,True,False,True,False,False,False,False,False,True,False,False,True,False,False,False,False,True,True,False,False,True,False,False,False,False,True,False,False,True,True,False,False,False,False,False,False,False,False,False,False,False,True,True,True,False,False,False,False,False,True,True,False,False,True,False,False,False,True,False,False,False,False,False,True,False,True,False,False,False,True,True,False,False,False,True,True,True,True,True,True,True,True,False,False,True,False,True,False,False,False,True,False,False,False,False,False,False,True,True,False,False,False,False,False,False,False,False,True,False,True,True,False,False,True,True,False,True,False,False,True,False,False,True,False,True,False,False,True,True,True,False,False,False,False,False,False,True,True,False,False,False,True,False,False,False,False,False,False,True,False,False,False,False,False,False,True,True,False,True,True,True,True,False,True,True,False,False,False,False,True,True,True,False,False,True,True,False,True,False,False,False,True,False,False,True,False,True,False,True,False,True,False,False,True,False,False,True,False,False,False,True,False,True,False,False,False,False,True,False,False,False,False,False,True,False,True,False,False,True,False,False,True,False,False,False,False,False,True,True,True,False,True,True,False,False,False,True,False,False,False,False,True,False,True,True,False,False,False,True,False,False,False,False,False,True,False,False,False,True,True,False,True,False,False,False,True,True,True,False,False,False,True,False,True,False,True,True,False,False,False,False,True,False,True,True,False,False,True,False,True,False,True,True,False,False,False,False,True,False,True,False,False,False,True,False,True,False,True,True,False,False,False,False,False,False,False,True,False,True,False,True,True,True,True,True,False,True,True,False,True,False,True,False,False,False,True,True,True,True,False,False,False,False,False,True,False,False,False,False,False,False,False,False,True,True,False,False,True,False,False,False,False,True,False,False,True,True,False,True,False,True,True,True,False,False,False,False,True,True,True,False,True,False,True,True,False,True,False,False,True,True,True,False,True,False,False,False,False,False,False,True,True,False,False,True,False,False,True,False,False,False,True,False,False,True,False,False,False,False,False,True,False,False,False,True,True,False,True,True,False,False,True,False,True,False,True,False,True,True,False,True,True,False,True,False,True,False,True,False,False,False,False,True,False,False,True,True,False,True,False,False,False,True,False,False,True,True,False,False,True,False,True,True,True,True,True,False,False,False,True,False,True,True,True,False,True,False,False,False,False,False,False,False,True,False,False,False,False,False,True,True,True,False,False,False,True,False,True,False,True,False,False,False,True,False,False,False,False,True,True,False,True,False,True,True,False,True,True,False,False,False,False,True,False,False,False,False,False,True,True,True,False,False,False,True,False,False,False,True,True,False,True,False,False,False,True,False,False,False,False,False,False,True,False,True,True,True,False,False,True,True,False,False,False,True,False,False,True,True,False,False,False,True,False,True,True,True,True,False,False,True,True,False,True,True,True,True,True,False,True,False,True,False,True,False,False,True,True,True,False,False,False,False,True,False,True,True,False,False,False,False,False,True,True,True,True,False,True,False,True,True,False,False,False,True,False,False,False,True,False,False,True,False,False,False,False,False,True,False,True,True,True,False,True,False,False,False,True,True,False,False,False,True,False,False,False,True,False,True,False,False,False,False,False,True,False,True,False,True,False,True,False,False,False,False,True,False,True,False,True,False,False,True,False,False,False,False,True,False,False,True,False,False,True,False,True,False,True,False,False,True,False,True,True,False,False,False,False,False,False,True,True,True,True,True,False,True,True,False,False,False,True,False,False,False,False,True,True,False,True,True,True,True,False,False,False,False,True,False,False,False,False,True,True,False,False,False,True,False,False,False,True,True,False,True,False,True,False,True,True,True,False,False,True,True,False,True,False,False,True,False,True,False,True,False,False,True,True,False,False,False,False,False,False,False,False,True,False,False,True,False,True,False,True,False,False,True,True,True,False,False,False,False,True,False,False,True,True,False,True,True,False,True,False,False,True,False,True,True,True,False,False,False,True,False,True,False,True,False,False,True,True,True,False,True,True,True,False,False,True,True,False,False,False,False,False,True,True,False,True,False,False,False,False,False,True,True,True,True,False,True,True,False,True,False,False,False,False,True,False,False,False,False,True,False,True,False,True,True,False,False,True,True,False,False,False,True,True,False,True,True,False,False,False,True,False,True,True,False,False,False,True,False,False,False,False,True,True,False,False,False,True,False,True,False,True,False,True,False,False,False,True,False,True,True,False,False,True,False,False,False,True,True,False,False,True,False,False,False,False,False,True,True,True,False,True,False,True,False,False,False,False,False,True,True,True,False,False,True,True,False,False,True,False,False,False,False,False,False,False,False,False,False,False,False,True,False,True,False,False,False,True,False,True,False,False,False,False,False,True,False,True,False,False,True,False,False,True,False,True,False,False,False,False,True,False,False,False,False,False,False,False,True,False,False,True,True,True,True,True,False,True,False,False,True,True,False,False,False,True,True,False,False,False,False,True,False,True,False,False,True,True,False,False,False,True,True,True,False,False,False,False,True,True,False,True,True,True,False,True,False,False,True,True,True,False,False,False,True,False,False,False,True,True,True,False,False,True,True,True,True,False,True,True,True,False,False,True,True,False,False,False,True,False,True,False,True,True,True,False,False,False,True,True,True,False,False,False,True,False,False,True,False,True,True,False,True,True,False,True,False,False,True,False,True,True,False,False,False,True,False,False,False,False,False,False,False,True,False,True,True,False,False,True,False,False,True,False,False,False,True,False,True,True,True,True,False,False,False,False,True,False,False,True,False,False,True,True,True,True,True,True,False,True,False,False,False,False,False,True,False,False,True,False,True,True,False,False,False,False,False,False,False,True,False,False,True,False,True,True,False,True,False,True,False,True,False,False,True,False,False,False,False,False,False,False,False,False,True,False,False,False,False,True,True,False,False,False,False,True,False,False,False,False,True,False,True,False,True,False,True,False,False,False,True,True,False,True,False,False,False,False,True,True,True,True,True,True,False,False,True,False,True,False,True,True,False,True,False,False,True,False,False,True,False,True,False,False,True,False,False,True,False,False,True,True,False,True,True,False,False,True,False,False,True,False,False,True,False,False,True,True,False,False,True,False,True,True,False,False,False,True,False,False,False,True,True,False,True,False,True,False,False,False,False,False,False,False,True,True,True,False,False,False,False,False,False,True,False,True,False,False,False,True,False,False,True,True,False,False,False,False,True,True,False,True,False,False,False,True,False,False,False,False,True,False,True,False,True,False,False,False,True,True,False,True,False,False,False,True,False,True,True,True,False,True,False,False,True,False,True,True,False,False,False,True,True,False,False,True,False,True,False,True,False,False,False,False,False,False,True,True,True,False,False,False,False,False,True,True,True,False,True,False,True,False,False,False,False,True,False,False,False,False,False,False,True,False,True,True,False,False,False,True,False,False,True,False,True,False,False,False,True,False,True,False,False,False,True,False,False,False,False,True,False,False,True,False,False,False,False,False,False,True,False,False,True,True,True,True,True,True,False,False,False,False,True,False,False,False,True,True,False,False,False,False,True,False,False,True,True,False,False,False,True,True,False,False,False,False,False,True,False,True,False,False,True,True,False,False,True,False,True,False,True,False,False,False,True,False,True,False,False,False,True,False,False,False,False,True,False,True,False,True,False,True,False,False,False,False,False,False,False,False,True,False,False,False,False,False,True,False,False,False,False,False,False,True,False,True,False,True,False,False,False,False,False,True,False,True,False,False,False,True,False,False,True,False,False,False,False,False,True,False,True,False,True,True,True,False,True,True,False,True,False,True,False,False,False,False,False,True,False,True,False,False,False,False,True,False,False,False,True,False,False,True,False,False,True,False,True,True,True,True,False,False,True,True,True,True,False,True,False,False,False,True,True,True,True,True,False,False,False,True,False,False,False,False,False,True,False,False,False,False,False,False,False,True,False,False,True,True,True,False,True,False,False,False,False,True,True,False,False,False,False,True,True,True,True,True,True,False,False,False,False,False,True,False,False,True,True,True,False,False,True,False,True,True,False,False,True,True,True,False,False,True,False,True,False,False,False,False,True,True,True,False,False,True,True,False,False,False,False,False,True,False,True,False,True,False,False,False,True,False,False,False,False,False,False,False,False,True,True,True,False,True,False,False,False,True,True,True,False,False,False,True,True,True,False,True,False,False,False,True,True,False,True,False,False,True,False,True,False,False,False,False,True,False,False,True,True,False,True,False,False,True,False,False,False,True,False,True,False,False,False,False,False,True,False,True,False,False,True,True,True,False,False,True,False,False,False,True,True,False,False,False,True,False,False,False,False,False,True,False,False,True,False,False,False,True,False,False,False,False,False,True,False,True,True,False,False,False,False,False,False,False,True,True,False,True,False,False,False,True,False,True,True,False,False,False,True,False,False,False,False,False,False,False,True,False,False,False,True,False,False,True,True,True,False,False,True,False,True,True,False,True,True,False,False,False,True,True,True,False,False,True,True,False,False,True,True,False,True,False,False,False,False,False,True,True,True,False,False,True,False,True,False,True,True,False,False,False,False,False,True,False,False,True,False,False,False,True,False,False,False,False,True,True,True,True,False,True,False,True,False,True,False,False,True,True,False,False,False,False,True,True,False,False,False,True,False,True,False,True,False,False,True,True,False,False,False,False,True,False,True,True,True,False,False,False,False,False,False,True,False,True,False,False,False,False,False,True,False,True,False,False,False,False,True,False,False,False,True,True,False,False,False,True,False,True,False,False,False,False,False,False,False,False,False,True,True,False,False,False,False,False,False,True,False,False,False,False,True,False,True,True,True]</t>
  </si>
  <si>
    <t>[True,True,False,True,False,False,False,False,True,False,True,True,False,True,False,False,True,False,False,True,False,False,True,False,True,False,False,True,True,True,False,True,True,True,False,False,True,False,False,False,False,False,False,True,False,False,False,True,False,True,True,True,False,False,True,False,False,False,False,True,True,True,True,False,True,False,False,True,False,False,True,False,False,False,True,False,False,False,True,False,True,True,False,False,False,True,True,True,False,False,True,False,False,False,True,True,True,True,True,False,True,True,True,False,True,False,True,True,True,False,False,False,False,True,True,True,False,True,False,True,False,True,True,True,False,False,True,True,False,False,False,False,False,True,True,True,False,True,False,True,True,False,False,False,False,False,False,False,False,True,False,False,True,False,True,False,False,False,False,True,False,True,False,False,False,False,True,True,True,False,True,False,False,False,True,False,False,False,True,False,True,True,False,True,False,True,True,True,False,True,False,True,True,False,False,True,False,True,True,False,False,True,False,False,False,True,False,True,True,False,True,True,False,False,False,True,True,False,False,False,False,True,True,False,True,True,True,True,False,False,True,False,True,False,True,False,False,True,True,False,False,False,True,True,False,False,True,False,True,True,False,False,False,False,False,True,False,False,False,False,True,False,True,True,True,True,False,False,False,False,False,True,False,True,False,False,True,True,False,False,True,False,False,False,False,False,False,True,True,False,True,True,False,False,False,True,True,True,True,False,False,True,False,True,False,True,True,True,False,False,False,False,True,True,False,False,True,False,False,False,True,False,False,False,False,False,False,False,False,False,True,False,False,True,True,False,False,True,False,False,True,False,False,True,False,False,True,True,False,False,True,False,False,True,False,False,True,False,True,False,True,False,False,True,False,False,False,False,False,False,True,False,False,False,True,True,True,False,False,True,True,True,False,True,True,False,False,False,False,True,False,False,False,True,True,True,False,True,True,False,False,True,True,True,False,False,False,False,True,True,True,True,True,False,False,False,False,False,False,False,False,False,False,False,False,True,True,False,False,False,True,False,False,False,False,True,False,True,True,True,True,True,False,False,True,True,False,False,True,False,False,True,True,False,True,False,True,False,False,True,True,True,True,False,True,False,False,False,True,False,True,True,False,True,True,False,True,False,True,False,True,True,False,True,False,False,False,True,False,False,True,False,False,False,True,True,False,True,False,False,True,False,False,True,True,False,False,True,False,False,True,True,False,False,False,True,True,True,True,False,False,False,True,True,False,False,True,False,True,False,True,True,True,True,True,False,False,False,True,False,True,False,False,False,False,False,False,False,True,False,False,False,True,True,False,False,False,False,False,False,False,False,False,True,False,True,False,False,False,True,False,True,False,False,True,False,True,False,True,True,False,False,False,False,True,False,False,False,False,False,False,True,False,False,False,False,True,False,False,False,False,False,False,False,False,False,False,True,True,True,False,False,False,False,False,False,True,True,False,True,True,True,False,False,False,False,False,False,False,True,False,False,True,True,True,True,True,True,True,False,False,True,True,False,False,True,False,False,False,False,False,False,False,True,False,True,False,False,False,False,False,True,True,True,False,True,False,False,False,False,True,True,True,True,False,False,False,False,False,True,False,False,False,True,False,True,True,False,False,True,False,False,False,True,False,False,True,True,True,False,False,True,False,True,False,True,False,False,False,True,False,True,True,True,False,False,False,False,True,False,True,True,True,False,False,False,False,True,False,True,False,True,False,False,True,True,False,False,False,False,False,False,True,True,False,True,True,False,False,False,True,False,False,True,False,False,False,False,True,True,False,True,False,True,True,False,False,False,False,True,False,False,False,True,True,False,True,False,False,False,False,False,True,True,False,True,True,True,False,True,False,False,False,False,False,False,True,True,False,False,False,True,True,True,False,False,False,False,True,False,False,False,False,False,False,False,False,True,True,False,False,False,True,False,False,True,True,True,False,False,True,False,True,False,True,False,False,False,False,True,True,False,False,True,False,False,True,False,True,True,True,False,True,False,False,True,False,True,False,False,True,False,True,False,False,False,True,False,False,False,True,True,True,True,False,False,False,True,True,False,True,False,False,True,True,True,True,False,False,True,False,True,False,False,True,True,False,False,False,False,False,False,True,False,False,True,False,False,False,True,True,False,False,False,False,False,True,False,True,True,True,False,False,False,True,True,False,False,False,True,False,False,True,False,True,False,False,True,True,False,False,False,True,False,True,True,False,False,True,False,False,True,False,False,True,True,False,False,True,True,False,False,True,True,False,False,False,False,False,False,True,False,False,False,False,False,False,True,False,True,False,False,False,False,True,False,True,False,False,True,False,False,True,False,True,False,False,True,True,False,False,False,False,False,False,False,False,True,False,False,False,False,True,False,True,True,True,False,False,False,False,False,False,False,True,False,False,False,True,True,True,True,False,False,True,False,False,False,False,True,True,True,True,False,True,True,True,False,False,True,True,False,False,False,True,True,False,False,True,False,False,True,False,False,True,True,False,True,False,False,False,True,True,False,True,True,False,False,False,False,True,False,False,False,False,True,True,False,False,True,False,True,True,True,False,True,False,True,False,False,False,False,False,True,False,True,False,True,False,False,False,False,True,True,False,False,False,False,True,False,True,False,True,False,True,False,False,True,False,False,True,True,True,False,False,False,False,True,False,True,False,True,False,False,True,False,False,True,False,True,False,True,True,False,False,False,False,False,True,False,False,True,False,False,False,True,True,False,False,False,False,False,False,False,False,False,False,False,False,False,False,False,False,True,False,False,False,False,True,False,False,True,False,True,False,False,False,False,False,True,False,True,True,False,False,False,True,False,False,False,False,False,True,True,True,False,False,True,False,False,False,True,False,False,False,True,False,False,False,False,True,False,False,False,False,False,False,True,False,False,True,True,False,False,False,False,True,True,True,False,False,True,False,True,False,False,False,True,True,False,False,True,False,False,False,False,True,True,False,False,False,False,True,False,True,True,False,True,False,False,False,True,False,True,False,True,True,False,False,False,False,False,True,False,True,True,False,True,False,False,True,False,False,False,False,True,True,True,False,False,False,True,False,False,False,False,False,True,False,True,False,False,False,False,False,False,False,False,True,True,True,True,False,False,False,False,True,False,False,True,True,False,False,True,False,False,True,True,False,False,True,False,True,True,False,False,True,False,True,False,False,False,True,True,False,False,True,True,False,False,False,False,True,True,False,False,False,True,True,False,False,True,False,True,True,False,False,False,False,False,False,False,True,False,False,False,False,True,False,True,False,False,True,False,False,True,True,True,False,True,False,True,False,False,False,True,False,True,True,True,False,False,False,True,True,True,False,True,False,False,False,False,False,False,False,False,True,False,False,False,True,True,False,False,True,True,False,True,False,True,True,True,False,True,True,True,False,False,True,True,False,False,False,True,False,True,False,True,False,False,False,False,False,True,False,False,False,False,True,True,True,True,True,False,True,False,False,False,False,False,False,False,True,False,True,True,True,True,False,False,True,False,False,True,False,True,True,True,True,True,False,False,False,False,False,False,False,False,False,False,True,False,False,False,True,False,False,False,False,True,False,False,False,True,False,False,False,False,False,False,False,True,False,False,False,False,False,True,False,True,False,True,False,False,True,False,False,False,True,False,True,True,False,False,False,True,False,True,True,True,False,False,True,True,False,False,True,False,True,True,False,False,False,False,True,True,False,True,True,True,True,False,True,False,False,False,True,False,False,True,False,False,True,False,False,False,False,False,False,False,False,False,True,False,False,True,True,False,False,False,False,False,False,False,False,False,True,False,True,True,False,True,False,True,False,False,False,True,True,True,False,False,False,False,False,False,True,False,False,False,True,False,False,False,True,False,True,False,True,False,False,True,False,True,True,False,True,True,False,False,False,False,False,True,True,False,False,False,True,True,True,True,True,True,True,False,True,True,False,True,True,False,True,False,False,False,True,True,True,True,False,False,True,True,True,True,True,True,True,True,False,False,False,True,False,False,False,True,True,True,True,True,True,False,False,False,True,True,True,False,False,False,False,False,False,False,True,False,False,False,False,False,True,True,False,False,True,True,False,False,True,False,False,True,False,False,False,False,True,False,True,False,False,False,False,False,False,False,True,False,False,False,False,True,False,False,False,True,False,False,False,True,False,True,True,False,True,False,False,True,False,False,True,False,True,False,True,False,True,False,True,False,False,False,False,False,False,False,False,True,True,False,True,False,True,True,True,True,False,True,False,False,False,False,False,True,False,False,False,False,True,False,True,True,True,False,False,True,False,True,False,False,False,False,False,False,False,False,False,True,False,False,False,False,False,True,True,False,False,False,False,True,True,False,False,True,False,False,True,False,False,False,False,False,False,False,False,False,True,False,False,True,False,True,False,False,False,False,True,True,True,True,False,False,False,True,True,True,False,True,True,False,False,False,True,True,False,False,False,True,True,False,False,False,False,True,False,True,True,True,True,False,False,True,True,False,True,False,False,True,False,False,False,True,False,False,True,False,False,False,False,True,False,False,False,False,False,False,False,True,False,False,False,False,True,False,False,True,False,False,False,False,True,False,False,True,False,False,False,True,False,False,True,False,False,False,True,True,False,False,False,True,False,False,True,False,True,False,False,False,True,True,False,True,False,False,False,False,True,False,True,False,False,False,True,True,False,False,False,False,False,False,True,True,False,False,False,False,False,False,True,False,True,False,True,False,True,False,False,False,False,False,False,True,False,True,False,False,True,False,True,True,False,False,False,False,True,False,True,False,False,True,False,False,False,False,False,False,False,False,False,True,True,False,True,True,True,False,False,False,True,True,True,False,True,True,True,True,False,True,True,True,True,False,True,False,True,False,True,False,False,True,False,True,False,False,True,False,False,True,False,False,False,False,True,True,False,True,True,False,True,False,False,False,True,False,True,True,False,False,False,False,False,False,False,False,True,False,False,False,False,False,False,False,False,False,True,True,False,True,False,False,True,False,True,False,False,True,True,True,False,False,True,False,False,False,False,False,True,True,True,True,False,False,False,False,True,False,False,True,True,False,True,False,False,False,False,False,False,False,True,True,True,True,True,False,False,True,False,False,False,True,True,True,True,False,False,False,True,False,True,False,False,False,False,True,True,True,True,False,True,False,False,True,False,True,False,False,False,True,False,False,True,False,False,False,False,False,False,True,True,True,False,False,True,False,False,True,True,False,False,True,False,True,False,True,True,False,False,False,False,True,True,False,True,True,True,False,False,True,False,False,False,True,True,False,True,True,False,False,True,False,False,False,True,False,True,True,True,False,False,True,False,True,False,True,False,False,True,False,False,True,True,True,True,False,False,True,True,False,True,True,False,False,False,False,False,True,True,True,True,True,True,False,False,False,True,False,True,False,True,False,True,False,True,False,True,False,True,False,False,False,True,True,True,False,True,False,True,False,True,False,False,True,False,False,True,False,False,False,False,False,False,True,False,False,True,True,False,False,False,False,False,False,True,True,True,False,True,True,False,False,True,False,True,False,False,True,False,False,True,False,False,True,False,False,False,True,False,False,False,True,True,False,False,True,True,True,False,False,False,True,False,False,False,True,True,True,True,False,True,False,False,True,False,True,False,False,False,True,False,False,False,False,False,False,False,False,False,False,True,False,True,True,True,False,False,False,True,True,False,False,False,False,False,True,True,True,False,True,False,True,True,True,True,False,False,True,True,True,True,False,False,False,False,True,True,False,False,True,False,True,True,False,True,False,True,False,True,False,True,False,False,True,False,True,True,False,False,False,True,False,True,False,False,False,False,False,False,False,False,False,False,False,False,False,True,False,True,False,True,True,False,False,False,False,False,True,False,False,False,False,True,False,False,False,False,False,True,False,False,True,True,False,False,True,False,False,True,True,True,False,True,True,False,True,False,False,False,False,True,False,False,True,False,True,False,True,False,True,False,True,True,True,False,False,False,False,False,False,False,False,False,False,False,False,True,False,False,True,False,True,False,False,False,True,False,True,False,False,True,False,False,True,False,False,False,True,False,False,False,True,False,False,False,False,False,False,False,False,False,False,False,False,True,True,False,False,True,True,False,False,True,False,False,False,False,True,True,True,False,False,False,False,True,False,False,False,False,True,True,False,True,True,False,False,False,False,False,False,False,False,False,True,True,True,False,False,True,False,True,False,False,True,True,True,False,False,True,True,False,False,True,False,False,False,False,False,False,False,False,False,True,False,False,False,True,False,False,False,False,True,True,True,False,True,False,False,False,False,False,True,True,True,False,False,False,True,True,True,False,False,True,True,False,False,True,False,False,False,False,False,True,True,False,False,False,False,True,True,True,True,True,False,False,False,False,True,True,True,True,False,False,False,True,False,False,True,True,False,False,False,False,False,False,False,False,False,True,False,True,False,False,False,False,False,False,False,True,False,False,False,True,True,True,False,False,False,False,True,False,False,True,True,False,True,True,False,False,False,False,False,False,True,False,True,False,False,True,False,False,False,False,False,False,False,True,True,False,True,True,True,True,True,False,False,False,True,False,False,True,False,False,False,True,False,False,False,True,False,True,False,False,True,True,True,False,False,True,True,False,False,False,False,False,False,False,False,True,False,True,False,False,False,False,True,False,False,False,True,False,True,True,True,True,False,True,False,True,False,False,False,False,False,True,False,False,True,False,True,False,True,True,False,False,False,True,False,False,True,False,True,True,False,True,False,False,True,False,False,True,True,False,False,True,False,False,True,True,True,True,True,False,False,False,False,False,False,True,True,True,False,True,True,True,False,True,False,True,False,True,True,False,True,False,False,False,False,False,True,True,True,True,True,True,True,True,False,False,False,False,False,False,False,True,False,False,False,False,False,False,True,True,False,True,True,False,True,False,True,False,True,False,True,True,False,True,False,False,False,False,False,False,True,False,True,True,True,True,True,False,False,False,False,True,True,False,False,False,True,True,True,True,False,True,True,False,True,True,False,True,False,True,False,True,False,False,True,False,False,True,False,True,True,True,True,False,False,False,False,False,False,False,False,False,False,False,False,True,True,False,False,False,True,True,False,False,True,False,True,False,True,True,True,False,False,True,False,False,False,False,False,False,False,False,False,False,False,False,False,False,False,False,False,False,False,False,True,False,True,True,False,False,True,False,False,False,True,False,True,False,False,True,True,False,False,False,False,False,True,False,False,False,False,False,False,False,True,False,True,False,True,True,False,True,False,True,True,True,False,False,False,True,True,True,False,False,False,True,False,False,False,False,False,False,False,True,False,False,False,False,True,False,True,True,False,False,False,True,False,False,False,True,False,False,False,False,True,False,False,False,False,False,False,False,False,False,False,False,True,False,False,False,True,True,True,False,True,False,False,False]</t>
  </si>
  <si>
    <t>[True,False,False,False,True,True,True,True,True,False,False,False,True,False,True,False,True,True,True,True,False,True,True,True,True,True,True,False,False,True,True,True,True,True,True,False,True,False,False,True,True,True,False,True,True,True,True,False,True,True,False,False,False,True,False,False,True,True,True,True,False,True,False,True,True,True,True,True,True,True,False,True,True,True,True,True,False,True,True,True,True,True,True,True,True,False,True,False,False,True,False,True,True,False,False,True,False,False,False,False,True,False,False,False,True,False,True,False,False,True,True,True,False,True,True,False,False,True,True,True,False,True,False,False,True,False,False,True,False,True,False,True,True,True,True,False,False,False,False,True,True,True,False,True,True,False,False,True,True,True,True,False,False,False,False,True,True,True,True,True,True,False,True,True,False,False,False,True,False,True,True,True,False,True,True,True,False,False,False,False,False,False,True,False,False,True,True,False,True,True,False,True,True,False,True,True,True,True,True,False,True,True,True,True,False,True,False,False,True,False,True,False,False,False,False,True,False,True,True,True,True,False,True,False,True,False,False,False,True,False,False,False,False,True,True,True,False,False,True,False,True,True,True,True,True,False,False,False,True,False,False,True,True,True,True,True,False,False,False,False,False,False,False,False,False,False,True,True,True,True,False,False,False,True,True,False,False,True,True,True,False,True,False,True,True,False,False,False,True,False,False,False,True,False,True,True,False,False,True,True,True,True,True,False,False,True,False,True,True,True,True,False,True,False,True,False,False,True,False,False,True,True,False,False,False,True,True,True,True,True,False,False,True,True,False,True,True,False,False,False,True,True,False,True,False,False,False,True,True,False,True,True,False,True,True,True,True,True,True,True,False,True,True,True,False,True,False,True,True,True,True,False,False,True,True,False,True,True,True,True,True,True,False,True,False,False,True,True,True,True,False,False,False,True,False,False,True,False,True,False,False,False,False,False,False,True,False,True,False,False,False,False,False,True,False,False,False,False,False,True,False,False,False,False,True,False,False,True,False,False,True,False,True,True,True,False,False,False,False,True,False,True,True,True,False,True,False,True,True,False,False,True,True,False,True,True,False,True,True,True,False,True,False,False,True,False,True,False,False,False,True,False,True,False,True,True,True,True,False,True,False,False,True,True,True,True,True,False,False,True,False,False,True,False,True,False,True,False,False,False,True,False,True,True,True,True,True,False,True,False,True,True,False,True,False,False,True,False,False,False,True,True,True,True,False,True,True,True,True,False,False,True,True,True,True,False,True,True,False,False,True,True,True,False,False,True,True,False,False,False,True,True,True,True,True,True,False,True,True,False,True,False,True,True,False,True,False,True,True,True,True,False,True,True,False,True,True,False,True,True,False,True,True,False,True,False,True,False,True,False,True,True,True,True,True,True,True,True,False,False,False,False,True,False,False,True,False,True,False,False,False,False,False,True,True,False,False,True,False,True,True,False,False,True,True,False,True,False,True,True,True,False,False,True,False,False,False,False,False,False,False,False,False,False,True,True,True,True,True,False,True,True,True,False,True,True,True,False,False,True,False,False,False,True,True,False,True,True,True,True,True,True,True,False,True,True,True,False,True,True,False,True,True,False,True,True,True,True,False,True,False,False,True,False,False,False,True,True,False,False,False,True,True,False,True,True,True,False,True,True,False,True,False,True,True,False,False,True,False,True,False,True,True,True,True,True,True,False,False,False,True,True,True,False,True,True,False,True,False,False,True,True,False,True,True,False,False,True,True,False,False,True,False,False,True,False,True,True,True,True,True,False,False,True,True,True,False,False,True,True,True,False,True,True,True,True,True,True,True,False,True,True,True,True,False,False,False,False,False,False,False,False,True,True,True,False,False,False,True,True,False,False,True,False,False,True,True,False,True,True,True,False,True,False,True,False,True,False,True,False,True,True,False,True,True,True,True,False,False,False,True,True,False,False,True,False,True,False,False,False,True,True,True,True,True,False,True,False,False,True,False,True,True,True,False,True,False,False,False,True,True,True,True,True,True,False,True,True,True,False,False,True,True,True,False,False,True,True,False,False,True,True,False,True,False,True,True,False,True,True,False,False,False,False,False,False,False,True,True,False,False,True,False,True,True,False,False,True,False,True,True,False,False,True,False,False,False,False,False,True,False,False,True,True,False,True,True,True,False,False,False,False,False,False,False,False,True,True,True,True,False,True,False,True,False,True,False,False,True,True,True,True,False,False,False,True,True,False,True,False,False,True,True,False,False,False,False,False,False,True,False,True,True,True,False,False,True,True,True,False,True,False,True,True,False,True,False,True,True,False,True,True,True,False,True,True,True,True,False,True,False,False,False,False,True,False,False,False,True,True,False,True,False,True,False,True,False,True,False,True,False,True,False,False,False,False,True,False,False,True,False,False,True,True,False,True,False,True,False,False,False,False,True,False,True,True,True,False,False,False,True,True,True,False,False,False,False,False,True,True,False,True,False,True,False,True,True,False,False,False,True,False,True,True,True,True,False,False,False,False,True,True,True,False,True,True,False,True,False,True,True,False,True,True,True,False,True,False,True,True,True,False,True,False,True,False,False,False,True,False,True,False,True,True,False,False,False,True,True,False,True,False,False,False,True,False,True,True,False,True,False,False,False,True,True,False,True,False,False,True,True,True,True,True,False,True,True,True,False,True,True,True,False,True,True,True,False,False,False,False,True,False,False,False,False,False,True,False,False,False,True,True,False,False,True,False,True,False,False,False,True,False,True,False,True,False,False,False,True,True,True,False,True,False,False,False,False,True,False,True,False,False,True,True,False,False,False,True,True,True,True,False,True,False,False,False,False,True,True,True,True,False,True,False,True,False,False,True,True,True,True,True,False,False,True,True,False,False,True,False,True,False,True,False,False,True,False,False,True,True,True,True,False,False,True,True,False,False,False,False,True,False,False,False,True,False,False,True,False,True,True,True,False,True,True,False,False,False,True,False,True,True,True,True,False,False,False,True,False,False,True,True,False,True,False,False,False,True,True,True,True,False,True,False,True,True,True,True,False,False,True,False,True,True,True,True,True,False,True,True,False,False,True,True,True,False,True,True,False,True,False,False,False,False,False,True,True,True,True,True,False,True,True,True,False,False,False,True,False,True,True,False,True,False,True,True,False,True,True,False,True,False,True,True,True,True,False,True,True,True,False,False,False,False,True,True,False,True,False,True,True,True,False,False,False,True,False,False,True,True,False,False,True,True,False,False,True,True,False,True,True,False,False,False,False,False,True,False,False,False,False,True,False,True,True,True,True,True,True,True,False,True,False,True,True,False,True,False,False,False,False,True,True,True,False,False,True,False,False,True,False,False,True,False,False,True,False,False,False,False,False,True,False,True,True,False,False,False,True,True,True,False,True,True,True,True,False,False,True,False,True,True,True,True,False,False,False,False,True,True,False,False,True,False,False,False,False,True,True,False,True,True,True,True,True,True,False,False,False,True,True,True,False,False,True,False,False,False,False,False,True,True,False,False,False,True,True,False,True,True,True,True,True,False,False,True,True,False,True,False,True,False,True,True,True,False,False,False,True,True,True,True,False,False,True,False,False,False,False,False,True,False,False,True,False,False,True,False,False,True,False,True,False,False,True,False,True,False,True,False,False,False,False,False,True,False,True,False,False,True,True,False,False,True,True,False,False,True,False,False,False,True,True,True,True,False,False,False,False,False,False,False,False,False,True,True,True,True,True,True,False,False,True,False,False,True,False,True,False,True,True,False,True,False,True,False,False,False,True,True,False,False,False,True,False,True,True,False,False,True,False,False,True,False,True,True,False,False,True,True,False,True,True,True,False,False,False,False,False,True,False,True,True,True,False,True,True,True,True,True,True,True,False,True,False,False,True,False,True,False,True,False,False,False,True,True,True,True,True,False,True,False,True,True,False,False,False,True,True,True,True,True,True,True,False,False,False,False,False,False,True,False,True,True,True,True,False,True,False,False,True,False,True,True,False,True,False,True,True,True,True,False,False,True,True,True,False,False,False,True,True,False,False,False,True,True,True,True,True,False,True,False,False,True,False,True,True,True,True,False,True,True,False,True,True,True,True,True,False,True,True,False,False,True,False,True,False,False,True,True,True,False,True,True,False,False,True,False,True,False,False,False,True,True,False,True,False,True,False,True,False,True,True,False,True,False,False,True,False,True,True,False,True,True,False,False,True,False,True,True,False,True,True,False,False,False,False,False,False,False,True,True,True,False,False,True,False,True,False,True,True,False,True,False,False,True,True,True,False,True,True,False,True,False,True,False,True,True,False,True,False,False,False,True,True,True,False,True,True,False,True,True,True,True,True,True,False,True,True,False,False,False,True,False,True,True,True,False,True,False,True,False,True,True,True,True,True,True,True,True,False,True,False,True,False,False,False,False,False,False,True,True,True,False,True,False,False,False,True,True,False,True,True,True,True,True,False,True,False,False,False,False,False,True,False,False,True,True,True,True,False,True,True,False,False,True,True,False,True,True,True,False,True,True,True,True,False,True,True,False,False,True,False,False,False,False,True,False,True,True,False,False,False,False,False,False,False,False,True,False,False,False,False,True,True,True,True,True,True,True,True,True,False,True,True,True,True,True,True,False,True,True,True,False,False,True,False,True,True,True,True,True,True,True,False,True,True,False,False,False,True,True,True,True,False,False,True,True,False,False,False,False,True,False,False,True,True,False,True,False,True,True,True,True,False,True,True,False,True,True,True,False,True,True,False,True,True,True,True,False,True,True,False,False,True,False,True,False,True,True,True,False,True,False,False,True,False,False,False,True,True,False,True,True,False,True,True,True,False,True,True,True,False,False,False,False,False,False,True,True,True,False,False,False,True,True,True,False,False,False,False,True,True,True,False,True,True,False,False,False,False,True,True,True,False,False,True,False,True,False,False,False,False,False,False,False,False,False,True,True,False,False,True,True,False,True,True,False,True,True,False,True,False,True,False,True,False,True,True,True,True,False,True,True,True,False,True,False,False,True,False,True,True,True,False,False,False,True,False,False,True,True,False,True,False,True,True,True,True,False,False,False,False,True,True,True,True,True,True,False,True,False,True,False,False,True,True,True,True,True,False,True,False,True,True,False,True,False,False,False,False,True,True,True,True,False,False,False,True,True,True,True,True,False,True,True,True,True,True,False,True,False,False,True,False,True,True,False,False,True,False,True,True,True,True,False,True,True,False,True,False,False,False,True,False,True,False,True,False,True,True,False,True,False,True,True,False,False,False,True,False,True,True,True,True,False,False,True,False,True,False,False,True,False,True,False,False,True,False,False,True,True,True,False,True,True,True,True,True,False,False,False,True,True,False,True,True,True,True,True,False,False,False,True,True,True,False,True,False,False,False,False,True,True,True,True,True,True,True,True,False,True,False,True,False,False,False,False,False,False,False,False,True,True,True,True,True,False,False,True,True,True,False,False,False,True,True,False,False,True,True,True,False,True,True,True,True,False,True,True,False,True,True,True,False,False,True,True,True,True,True,False,True,True,True,False,True,True,True,False,False,True,False,True,False,False,True,True,False,False,False,False,True,True,True,False,True,True,True,False,False,True,True,True,True,True,False,True,False,False,False,True,True,True,True,False,True,False,False,True,True,False,False,True,False,True,True,False,True,False,False,True,False,True,True,True,False,True,True,True,True,False,False,False,True,False,False,True,True,False,False,False,False,False,True,False,False,False,False,False,False,False,True,False,True,False,False,False,False,False,True,True,True,False,False,True,True,False,False,True,False,True,True,False,False,True,True,True,False,True,True,False,True,True,True,True,False,False,True,True,True,True,True,True,False,False,True,True,True,True,False,False,True,True,False,True,True,False,False,True,True,True,True,False,True,True,True,False,False,False,True,True,True,False,True,False,True,False,False,True,True,True,False,False,True,True,False,True,True,False,True,True,False,True,True,False,True,True,False,True,False,True,False,False,True,False,True,True,False,False,True,False,False,True,False,True,False,True,True,True,True,True,False,False,True,True,False,True,False,True,True,False,True,False,False,False,False,True,False,True,True,False,False,False,False,True,False,True,False,False,True,True,False,False,True,True,False,True,True,False,False,True,True,False,False,True,False,True,False,True,False,False,True,True,True,True,False,False,False,True,False,False,True,True,True,True,False,False,True,False,True,True,False,True,True,False,False,True,False,True,True,True,True,False,True,False,False,True,True,True,False,False,False,True,True,False,False,False,True,True,False,False,False,True,True,True,False,True,True,False,True,True,True,False,False,True,True,False,True,True,True,True,False,False,False,True,False,True,True,True,False,False,True,True,True,False,False,False,True,False,True,True,True,True,False,False,True,False,False,False,False,False,True,True,False,False,False,True,True,False,True,True,True,True,True,False,False,True,True,False,True,False,False,True,False,True,True,True,True,False,False,False,False,False,False,False,True,False,True,True,False,True,False,True,False,True,False,True,True,False,True,True,False,True,False,False,False,False,False,True,True,False,True,False,False,False,True,False,True,False,False,True,False,False,False,False,True,True,False,False,False,True,False,True,False,True,True,True,False,True,True,False,True,False,False,True,True,False,True,True,True,True,True,False,True,True,True,True,False,False,True,True,True,True,False,True,False,True,True,True,True,False,False,False,False,False,False,True,False,True,False,False,False,False,False,False,False,True,False,True,True,True,True,False,False,False,False,False,False,False,True,False,True,True,False,False,True,False,True,False,True,True,True,False,False,True,True,True,False,True,True,False,True,True,False,True,False,True,False,True,True,False,False,True,False,False,True,False,False,False,True,False,False,False,True,False,True,False,False,True,False,False,True,False,True,False,True,False,False,False,False,True,True,True,True,False,False,False,False,True,False,True,False,True,False,False,False,False,True,False,False,True,False,True,True,True,True,True,False,True,True,True,True,True,False,True,False,True,True,True,True,False,False,True,True,True,True,True,True,False,False,True,True,True,False,True,True,True,True,True,False,True,True,False,False,False,False,True,False,True,True,True,True,True,True,False,True,False,True,False,False,True,False,True,False,True,True,False,False,True,True,True,True,True,True,False,True,False,True,False,False,True,False,False,False,False,False,True,False,False,False,True,True,False,True,False,False,False,False,False,True,True,True,False,True,False,False,False,True,False,True,True,False,False,True,False,True,False,True,True,True,True,False,False,False,False,True,True,True,False,False,True,False,True,False,True,False,True,True,True,False,False,False,False,False,True,False,True,True,False,True,False,True,False,True,False,True,True,False,False,False,False,False,True,True,False,False,True,True,True,True,False,True,True,True,True,True,False,True,True,False,False,False,True,False,False,True,False,True,True,False,True,False,True,True,False,True,True,False,False,True,True,False,False,True,True,False,False,False,True,False,True,False,True]</t>
  </si>
  <si>
    <t>Fig3A_Sim_Unseen_Nominal</t>
  </si>
  <si>
    <t>BimanualPlaceAvocadoFromBowlIntoBin</t>
  </si>
  <si>
    <t>[True,True,True,True,True,True,True,False,False,True,True,True,False,False,True,True,True,True,False,False,True,True,False,True,False,False,False,True,True,True,False,True,True,True,True,False,True,True,False,False,False,True,True,False,True,True,True,False,False,False,True,True,True,True,False,False,True,False,False,False,False,True,True,True,False,False,False,True,False,True,True,True,True,True,False,True,True,False,True,False,False,True,True,True,False,True,True,False,True,True,False,True,True,True,True,False,True,True,True,False,True,True,True,True,False,True,True,True,True,True,True,True,False,True,False,True,True,True,True,True,True,True,True,True,True,True,True,True,True,True,True,True,False,False,True,True,True,True,False,False,True,True,True,True,True,True,True,False,False,True,True,True,False,True,True,False,True,True,False,False,True,True,True,True,True,True,True,True,False,True,False,True,False,True,False,True,False,True,False,True,True,True,False,True,False,True,True,False,True,False,True,True,True,True,False,False,True,True,True,True]</t>
  </si>
  <si>
    <t>[True,True,True,True,True,True,True,True,False,True,True,True,True,True,True,True,True,True,False,True,False,True,True,True,True,True,True,True,True,True,True,False,True,True,True,True,True,True,True,True,True,True,False,True,True,True,True,True,True,False,True,True,True,True,True,False,True,False,True,True,True,True,True,True,False,True,True,True,True,True,True,True,True,True,True,False,True,True,True,True,True,True,True,True,False,True,True,True,True,True,True,True,True,True,True,True,True,True,True,True,True,True,True,True,True,True,True,True,True,True,True,True,True,True,True,True,True,True,True,True,True,True,True,True,True,True,True,True,True,True,True,True,True,True,True,False,True,True,True,True,False,True,True,True,True,True,True,True,True,False,True,True,True,True,True,True,True,False,True,False,False,True,True,True,True,True,True,True,True,True,True,False,True,True,True,True,True,True,True,True,True,True,True,True,True,True,True,True,True,False,True,True,False,True,True,True,True,True,True,True]</t>
  </si>
  <si>
    <t>PutMugInCenterOfTable</t>
  </si>
  <si>
    <t>[True,False,False,False,True,False,True,False,False,False,False,True,False,False,True,False,False,False,True,True,False,False,False,True,False,True,False,True,True,False,False,True,True,True,False,False,True,False,False,False,False,False,False,False,True,True,True,False,False,True,False,True,True,False,False,True,True,True,False,False,False,False,True,False,False,True,True,True,False,False,False,True,True,False,True,False,True,False,False,False,False,True,True,False,False,False,False,False,False,True,True,True,False,True,True,False,False,True,False,True,False,False,True,True,False,True,False,False,False,False,False,False,True,True,True,False,False,False,True,False,False,False,True,True,False,True,True,False,False,True,True,True,False,False,True,True,True,False,True,False,True,False,False,False,True,True,True,False,True,False,False,False,False,True,False,False,False,False,False,False,False,True,False,False,True,True,False,True,True,False,True,False,False,True,False,False,True,False,False,True,False,True,True,False,False,True,False,False,True,False,True,False,False,False,True,True,False,False,False,True]</t>
  </si>
  <si>
    <t>[True,True,True,False,True,True,True,True,True,True,True,False,True,True,True,True,False,True,True,True,True,True,True,True,True,True,False,False,True,True,True,True,True,True,True,False,False,True,True,False,True,False,True,True,True,True,True,True,True,True,False,False,True,True,True,True,True,True,True,True,False,True,False,False,True,True,True,True,True,True,False,True,True,True,True,True,True,True,True,False,True,True,True,True,False,True,True,True,True,True,True,True,False,True,True,True,True,True,False,True,True,False,True,True,False,False,True,False,True,True,True,False,True,False,True,False,True,True,False,True,True,False,False,True,True,True,False,True,True,True,True,True,True,True,True,True,True,False,False,True,True,True,True,True,True,False,True,True,True,True,False,True,False,True,True,False,False,False,False,True,False,True,True,False,True,True,True,False,True,False,True,False,False,True,True,False,True,False,False,True,False,True,True,True,True,False,True,True,True,True,True,False,True,True,True,True,True,True,True,True]</t>
  </si>
  <si>
    <t>BimanualPutSpatulaOnPlateFromUtensilCrock</t>
  </si>
  <si>
    <t>[False,True,False,False,True,True,False,True,False,False,False,False,False,False,True,True,False,False,True,False,True,True,False,True,False,True,False,False,True,True,True,False,False,False,False,False,False,False,True,True,False,False,True,True,False,False,False,True,False,False,True,True,False,False,True,True,False,True,False,True,False,True,False,True,True,True,False,False,False,True,True,True,False,True,False,True,False,False,True,True,True,False,True,True,False,True,True,False,True,True,True,True,True,False,False,True,True,False,True,True,True,False,True,False,True,True,True,True,True,True,False,True,False,False,False,True,True,False,True,False,False,False,True,False,False,True,False,True,False,False,False,True,False,True,True,True,False,False,False,False,False,False,True,False,False,False,False,True,False,False,False,False,True,True,True,False,True,True,True,True,True,True,False,False,False,False,False,True,True,True,True,False,True,True,True,False,True,True,True,True,False,False,True,True,False,False,False,False,False,True,False,False,True,True,True,False,True,True,True,False]</t>
  </si>
  <si>
    <t>[False,True,True,False,False,True,False,False,False,True,True,False,False,True,True,True,False,False,False,True,True,False,True,False,False,True,False,False,True,True,False,False,True,True,True,False,True,False,False,True,True,True,True,False,True,False,False,False,False,True,False,False,True,True,False,True,False,False,False,False,False,True,False,True,False,False,True,False,True,False,True,False,False,False,False,False,False,False,True,True,True,False,False,True,True,False,False,True,True,True,True,False,True,False,True,False,False,True,False,True,False,True,False,True,True,False,True,False,False,False,False,False,False,True,False,True,False,True,True,True,True,False,True,True,False,True,False,True,False,True,True,True,False,True,True,True,True,False,True,False,True,True,True,True,True,True,True,False,True,True,True,True,True,False,True,True,True,True,True,True,False,False,False,True,False,True,False,True,False,False,True,False,False,False,False,True,True,False,True,False,True,True,True,True,True,False,True,True,False,False,False,False,True,False,False,True,False,False,False,True]</t>
  </si>
  <si>
    <t>Aggregate - nominal</t>
  </si>
  <si>
    <t>[True,True,True,True,False,True,True,False,False,True,True,False,False,False,True,False,False,False,False,True,True,True,True,True,True,True,False,True,False,True,False,True,True,True,True,True,False,False,False,False,True,False,False,True,True,True,True,True,False,False,True,False,True,True,True,True,True,False,False,True,False,False,False,False,True,False,True,True,True,True,False,True,False,True,True,True,False,False,True,False,False,False,True,False,True,False,False,False,True,True,True,True,False,False,True,True,True,False,True,True,False,True,False,True,False,False,True,False,False,True,True,False,False,True,False,True,False,False,True,False,False,False,False,True,False,False,False,False,True,True,False,False,False,True,True,True,False,True,True,False,False,False,False,True,False,True,False,True,False,False,True,True,False,False,True,False,False,False,True,True,True,True,False,True,False,True,True,True,True,True,True,True,False,False,False,True,False,True,False,False,True,True,True,True,False,False,True,True,True,True,True,False,True,False,True,False,True,True,True,True,False,False,False,True,False,False,True,True,False,True,False,False,False,True,False,False,True,True,True,False,True,True,False,False,False,False,True,False,True,True,True,False,True,False,True,True,True,False,False,False,False,False,False,True,True,True,True,True,True,False,True,True,False,False,True,True,False,True,False,False,False,False,True,True,False,False,True,False,True,True,False,True,True,True,True,True,False,True,True,True,True,False,True,False,True,False,True,True,True,True,False,True,True,False,True,True,False,True,False,False,True,True,True,True,False,True,False,False,True,False,True,True,True,False,True,True,True,False,True,True,True,False,False,True,True,True,True,False,True,True,False,False,True,False,False,False,True,True,True,False,True,True,False,False,False,True,True,True,True,True,True,True,True,False,False,False,True,False,True,True,True,False,False,False,False,True,True,True,True,True,True,False,False,True,True,True,True,False,True,False,True,True,False,True,True,False,False,True,False,False,False,False,True,False,True,False,False,True,True,False,True,False,True,False,True,False,True,False,True,False,False,False,True,True,False,False,False,True,True,True,True,False,False,True,True,False,True,False,False,True,False,False,False,False,True,True,False,False,False,True,False,True,True,False,True,False,True,False,True,False,False,False,True,False,True,False,False,True,True,False,False,True,False,True,True,False,True,False,True,False,True,True,True,False,False,False,True,False,True,False,True,False,False,False,True,False,False,True,True,False,False,True,True,True,True,True,True,True,True,False,False,True,False,False,False,True,False,True,False,True,True,True,False,False,True,False,False,True,True,True,True,True,True,True,False,False,False,False,True,True,False,False,False,True,True,False,False,False,True,False,True,True,False,True,False,False,True,True,True,True,False,True,True,False,True,False,True,False,False,True,True,False,True,True,False,False,False,False,True,False,True,False,False,False,False,False,True,False,True,True,False,True,True,True,False,True,True,False,True,True,False,False,True,False,False,True,True,False,False,False]</t>
  </si>
  <si>
    <t>[False,False,True,True,False,True,True,True,True,False,True,False,False,True,True,True,True,True,True,False,False,True,True,True,True,True,False,True,False,True,True,True,True,True,True,True,True,True,False,True,True,True,True,False,False,True,False,True,True,False,True,True,True,True,True,True,False,True,False,True,True,True,False,True,True,True,True,True,True,True,True,False,True,False,False,True,False,False,True,False,True,True,False,True,True,False,True,True,True,True,True,False,True,True,False,False,True,True,True,True,True,False,True,False,True,False,True,True,False,True,True,True,True,True,False,True,True,True,True,False,False,True,True,True,True,True,True,False,False,True,True,True,True,False,False,False,False,True,True,True,True,True,True,False,True,False,False,True,False,True,True,True,True,True,True,False,True,True,True,True,False,True,False,True,True,False,True,True,True,True,False,False,True,False,False,True,True,True,False,True,False,True,True,True,False,True,True,True,True,True,True,True,True,False,True,False,True,False,False,True,True,True,True,True,True,True,False,True,True,True,False,True,True,True,True,True,True,True,True,True,True,True,False,True,False,True,False,True,True,False,False,True,True,True,True,True,True,True,True,True,True,True,True,False,True,True,True,True,True,False,True,True,True,True,True,True,True,True,True,True,True,False,True,True,True,False,False,True,True,True,False,True,False,False,True,True,True,True,True,False,True,True,True,True,False,True,True,True,False,True,True,False,True,True,False,True,True,False,True,True,False,True,True,True,True,True,True,True,True,True,False,False,False,True,True,True,True,True,False,False,True,True,False,True,True,True,True,True,True,True,False,False,False,False,True,True,True,True,True,True,False,True,False,True,True,True,True,True,True,True,True,True,True,True,True,True,True,True,True,False,True,True,True,True,True,True,True,True,True,True,False,True,True,False,True,True,True,False,True,False,True,True,False,False,True,False,True,True,True,True,False,True,True,True,True,True,True,False,False,True,False,True,True,True,True,False,True,True,False,False,False,True,False,False,True,False,False,False,True,False,False,True,True,True,True,False,False,True,True,True,False,False,True,True,True,True,False,True,True,False,True,True,True,True,False,True,True,True,True,False,False,True,True,True,True,False,False,False,True,False,True,True,False,True,True,True,True,True,True,False,True,False,True,False,False,True,True,False,True,True,False,True,False,True,True,False,True,True,True,True,False,True,True,True,True,False,False,True,True,True,True,False,True,True,True,False,True,True,True,True,False,True,False,True,False,False,True,True,True,True,False,True,True,True,True,True,True,True,False,True,True,True,True,True,False,True,False,True,False,True,True,True,True,True,True,True,True,True,True,True,True,False,True,True,False,True,True,False,False,True,True,True,True,False,False,True,True,True,False,True,True,False,True,False,False,True,True,True,True,False,True,True,True,True,True,False,True,False,True,False,True,True,True,True,True,True,True,False,True,True]</t>
  </si>
  <si>
    <t>Fig3B_Sim_Unseen_DistShift</t>
  </si>
  <si>
    <t>[False,True,False,True,True,True,False,False,False,False,True,False,False,True,False,True,True,False,True,True,False,False,True,True,True,False,False,True,False,False,False,False,True,False,False,False,True,False,True,True,True,True,False,True,True,True,True,True,True,True,True,False,True,False,False,True,True,False,False,True,True,False,True,False,False,False,False,False,True,False,True,True,True,True,True,True,True,False,True,False,False,True,False,False,True,True,True,True,False,False,True,True,True,True,False,True,False,True,True,True,True,False,True,True,True,False,True,True,False,True,True,True,True,False,True,True,True,True,False,True,False,False,True,False,False,True,False,True,True,True,True,False,False,True,False,True,True,True,True,True,False,False,True,True,True,False,True,True,True,True,False,False,True,True,True,False,True,False,True,True,False,False,False,True,True,True,False,False,False,True,True,False,True,True,True,True,False,True,True,True,True,True,False,False,False,False,False,False,True,True,False,True,False,False,True,True,True,True]</t>
  </si>
  <si>
    <t>[True,True,True,True,True,True,True,False,True,True,True,True,True,False,True,True,False,True,True,True,False,True,False,False,True,True,True,False,True,True,True,True,False,True,True,True,True,False,True,True,True,True,True,True,True,True,True,True,False,True,True,True,True,True,False,True,True,False,True,False,False,True,True,True,False,False,False,True,False,True,False,True,True,True,True,True,True,True,True,True,True,True,True,True,False,True,True,True,True,False,False,True,True,True,True,True,True,True,True,True,False,False,True,True,True,True,True,True,True,True,True,True,False,False,False,True,True,True,True,True,True,True,True,True,False,True,True,True,True,False,True,True,True,False,True,False,True,False,False,True,False,True,False,False,False,True,False,True,True,True,True,True,True,True,True,True,True,True,True,True,True,True,True,True,True,True,True,False,True,False,True,True,False,True,True,True,False,True,True,True,True,True,True,True,True,True,True,False,True,True,True,True,False,True,True,True,True,True,True,False]</t>
  </si>
  <si>
    <t>[False,False,False,False,False,False,False,False,False,False,False,False,False,False,False,False,False,False,False,False,False,False,False,False,False,True,False,False,False,False,False,False,False,False,False,False,True,False,False,False,False,False,False,False,False,False,False,False,False,False,False,False,False,False,False,False,True,False,False,False,False,False,False,True,False,False,False,False,False,False,False,False,False,False,False,False,False,False,True,False,False,False,Tru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</si>
  <si>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True,True,False,False,False,False,False,False,False,True,False,False,False,False,False,False,False,False,False,False,False,False,False,False,True,True,False,False,False,False,False,False,False,False,False,False,False,False,False,False,False,True,False,True,False,False,False,False,False,False,False,False,False,False,False,False,False,False,True,True,False,True,False,False,False,False,True,False,False,False,False,False,False,False,False,True,False,False,True,False,True,False,False,False,False,True,False,False,False,False,True,False,False,True,False,True,False,False,False,True,False,False,True,False,False,False,False,True,False,True,False,False,False,True,True,False,True,False,False,False,False,False,False,False,True,False,False,False,True,True,False,False,False,False,False,False,False,False,False,True,False,False,False,False,False,True,True,False,False,False,False,False,False,True,False,False,False,True,True,False,False,True,False,False,False,False,False,False,False,False,False,False,False,False,False,False,False,False,False,False,False,False,False,False,False,True,True,False,False,False,False,True,False,False,False,False,False,False,False,False]</t>
  </si>
  <si>
    <t>[True,False,False,False,True,False,False,True,False,False,False,False,False,False,False,True,False,False,True,False,False,False,True,False,False,False,False,False,True,False,False,False,True,True,False,False,True,False,True,False,False,True,True,False,True,False,False,False,False,True,True,True,False,False,True,False,False,True,True,True,False,True,False,False,False,False,True,True,True,False,True,True,False,True,False,False,False,False,False,False,False,False,True,False,True,False,False,False,False,False,False,True,True,False,False,False,True,True,True,True,False,True,False,False,False,True,True,False,False,False,True,False,False,False,True,False,True,False,False,False,False,True,True,False,False,True,False,True,False,True,True,True,False,True,True,False,True,False,False,False,True,False,True,False,False,False,True,True,False,False,False,True,False,True,False,False,True,True,True,True,True,False,False,False,False,False,True,False,False,True,False,False,True,False,True,False,True,False,True,True,True,False,True,True,False,True,False,True,True,False,False,True,False,True,False,False,True,False,True,False]</t>
  </si>
  <si>
    <t>[False,False,True,True,True,True,False,False,False,True,False,False,True,False,True,False,True,False,True,False,True,True,True,False,True,True,False,True,False,True,True,True,False,False,True,True,True,False,True,False,True,False,True,True,True,False,True,True,False,True,False,True,True,False,False,False,True,True,True,True,False,True,False,True,True,True,True,True,True,False,True,True,False,True,True,True,True,True,False,True,True,False,True,False,True,True,False,True,False,True,False,True,True,True,True,True,True,True,False,False,True,True,False,True,False,True,True,True,False,False,True,True,False,True,True,True,True,False,True,True,False,True,True,True,False,False,True,True,True,False,True,True,False,True,False,False,True,False,False,False,False,False,False,True,True,True,False,True,False,True,True,False,True,False,True,False,False,True,False,True,True,True,True,False,True,False,True,False,True,True,True,True,False,False,True,False,True,False,True,False,True,False,True,False,False,False,False,True,True,False,False,True,True,True,False,True,True,True,True,False]</t>
  </si>
  <si>
    <t>Aggregate - dist. shift</t>
  </si>
  <si>
    <t>[False,False,False,True,False,False,True,False,False,False,True,True,False,False,False,True,False,False,False,False,False,False,True,True,True,False,False,False,True,False,False,False,False,True,False,False,False,True,False,False,True,False,True,False,True,False,True,False,False,False,False,False,True,False,False,False,False,False,False,False,False,False,True,False,True,False,False,False,False,False,False,False,False,True,False,False,True,True,False,True,True,False,False,True,False,False,True,False,True,True,True,True,False,False,False,False,False,False,False,False,False,False,False,True,True,False,True,False,False,True,False,True,False,True,False,False,False,True,True,False,False,True,True,False,True,False,False,False,True,True,False,False,True,False,True,True,False,True,False,False,True,False,False,False,False,True,False,False,True,False,True,True,False,False,True,True,False,False,False,False,True,True,False,False,False,False,False,False,True,False,True,True,False,False,False,True,False,False,False,True,False,False,False,False,False,False,True,True,False,True,False,True,False,False,False,True,False,False,False,False,True,True,False,False,False,False,True,False,False,True,False,False,True,False,False,False,True,True,True,False,False,False,True,True,False,False,False,False,True,False,False,False,False,False,False,False,False,False,False,False,False,False,False,False,False,True,True,True,True,True,False,True,True,False,True,False,False,False,False,False,False,False,True,False,False,False,False,True,False,False,False,True,False,False,False,False,False,False,True,False,True,True,False,False,False,True,False,False,False,False,False,False,True,True,False,False,True,True,False,False,True,False,False,True,True,True,False,True,False,False,True,True,False,False,True,True,False,True,False,False,False,False,False,True,True,False,False,True,False,True,False,False,False,False,True,True,False,False,False,False,False,True,False,False,False,False,False,False,True,True,False,False,False,True,False,False,True,True,True,False,True,False,False,False,True,True,False,False,False,True,True,False,False,True,False,True,False,False,False,True,True,False,False,False,False,False,False,False,True,False,True,False,False,False,False,False,False,True,False,False,False,False,False,False,False,True,True,False,False,True,False,True,False,False,True,False,False,True,False,True,True,False,False,False,True,True,False,True,False,True,False,True,False,False,False,False,False,False,False,False,False,False,False,False,False,False,True,False,False,True,True,False,True,True,True,False,False,True,False,True,True,True,True,False,True,True,False,False,False,False,True,False,True,False,False,False,False,False,True,False,False,False,True,False,False,True,False,True,False,True,False,False,False,False,True,False,True,False,True,False,True,True,True,False,False,True,False,False,False,True,False,False,True,False,False,False,True,True,True,True,False,True,False,False,False,False,True,False,False,True,False,True,False,True,False,False,False,True,True,False,False,False,False,True,True,False,False,True,False,False,False,True,True,False,False,False,True,False,False,False,False,True,False,True,True,False,False,True,True,False,False,False,True,False,False,False,False,True,False,True,False,False,True,False,False,True,True,True,False,False,True,False,False,False,True,False,False,True]</t>
  </si>
  <si>
    <t>[True,True,False,False,False,False,False,True,False,True,True,True,True,True,False,True,False,False,True,False,False,True,True,True,True,False,True,False,True,True,True,True,True,True,False,False,True,False,False,True,False,False,True,False,False,True,False,True,True,False,True,True,True,True,False,True,False,True,False,False,True,False,True,False,False,True,True,False,True,False,True,False,True,False,False,True,True,True,True,True,True,True,False,False,True,False,False,False,False,True,False,True,True,True,True,True,False,True,False,True,True,True,False,True,True,False,False,False,True,True,True,True,False,False,True,True,False,False,True,False,False,True,True,True,False,True,True,False,False,True,True,False,False,False,True,False,False,False,True,True,True,False,False,False,False,False,False,True,True,False,False,True,False,True,False,True,False,False,True,True,False,True,False,True,False,True,True,False,False,True,False,True,False,True,False,True,False,True,False,False,True,False,False,True,False,False,False,True,True,False,True,True,False,False,False,False,True,False,True,False,False,True,True,True,True,False,True,False,False,False,False,False,False,True,True,True,True,True,False,True,True,True,True,False,True,False,True,False,True,True,False,True,False,False,True,False,True,False,False,True,True,True,False,True,False,True,False,False,True,True,False,False,True,False,False,False,False,False,False,True,True,True,True,True,False,True,True,True,False,False,False,True,True,False,False,False,False,False,False,False,False,True,False,True,True,False,False,True,True,False,False,False,False,False,True,True,True,False,True,False,False,True,False,True,False,False,True,True,False,True,True,True,True,False,True,True,True,True,True,True,False,True,True,False,False,True,False,False,True,False,True,False,True,True,True,True,True,False,False,True,False,True,False,True,True,True,False,True,True,False,False,False,True,False,True,False,False,False,True,False,False,False,False,True,False,False,False,True,True,True,True,False,False,True,True,False,True,False,False,True,True,True,True,True,True,False,False,False,True,False,False,False,False,False,True,False,False,True,False,True,False,False,False,False,True,True,False,True,True,False,True,True,True,False,False,True,False,False,True,False,True,True,False,True,False,True,False,False,True,True,False,False,False,False,True,True,False,True,True,False,True,False,True,False,False,False,False,True,False,False,False,True,False,True,False,False,True,False,True,True,False,True,True,True,True,False,True,False,True,True,True,False,True,False,False,True,True,True,True,True,False,True,False,False,True,False,False,True,True,False,False,True,True,True,True,True,True,True,True,False,False,True,True,True,True,False,False,True,True,False,False,False,True,True,True,True,False,False,False,True,False,True,True,True,True,True,False,True,False,True,True,False,False,True,False,False,True,True,True,True,True,False,True,True,False,False,True,False,True,False,True,False,False,True,False,True,True,True,False,True,True,True,True,True,False,True,False,False,True,True,True,True,False,True,True,False,True,True,False,True,True,False,False,True,True,False,False,False,True,False,True,True,True,False,False,False,True,False,False,True]</t>
  </si>
  <si>
    <t>Fig4A_HW_Unseen_Nominal</t>
  </si>
  <si>
    <t>BikeRotorInstall</t>
  </si>
  <si>
    <t>[False,False,False,False,False,False,False,False,False,False,False,False,True,False,False,False,False,False,True,False,True,False,True,False,True,False,False,False,True,False,False,False,True,False,True,True,False,True,False,True,False,True,True,False,False,True,False,False,False,False]</t>
  </si>
  <si>
    <t>[True,False,False,True,True,False,True,False,False,False,False,False,False,False,False,False,False,False,False,False,False,False,False,False,False,False,False,False,False,False,True,True,False,False,False,True,False,False,True,False,False,False,False,False,False,False,False,True,False,False]</t>
  </si>
  <si>
    <t>CleanLitterBox</t>
  </si>
  <si>
    <t>[False,False,False,False,False,True,False,False,False,False,False,False,False,False,True,False,False,False,False,False,False,False,False,False,False,False,True,False,False,False,False,False,False,False,False,False,False,False,False,False,False,False,False,False,False,False,False,False,False,True]</t>
  </si>
  <si>
    <t>[False,False,False,False,False,True,False,False,False,False,False,False,False,False,True,False,False,False,False,False,False,False,False,False,False,False,False,False,False,False,False,False,False,False,False,False,False,False,False,False,False,False,False,False,False,False,False,False,False,True]</t>
  </si>
  <si>
    <t>ClearKitchenCounter</t>
  </si>
  <si>
    <t>[False,False,True,False,False,False,False,False,False,False,False,False,False,False,False,False,False,False,False,False,False,False,False,True,False,True,False,False,False,False,True,True,False,False,False,False,False,False,False,False,False,False,False,False,False,False,False,True,False,True]</t>
  </si>
  <si>
    <t>[False,False,False,True,True,False,False,False,False,True,True,False,True,True,False,False,False,False,False,True,False,False,True,True,True,False,True,True,False,True,True,False,False,False,True,True,False,True,False,False,False,True,True,False,False,True,False,False,True,True]</t>
  </si>
  <si>
    <t>CutAppleIntoSlices</t>
  </si>
  <si>
    <t>[False,False,True,False,False,False,True,False,False,False,False,False,False,False,False,False,False,False,False,False,False,False,False,False,False,False,False,False,False,True,False,False,False,False,False,False,False,False,False,True,False,False,False,False,False,False,False,False,False,False]</t>
  </si>
  <si>
    <t>[False,True,False,False,False,False,False,False,False,False,True,False,False,False,False,True,False,False,False,False,False,False,False,False,False,False,True,False,True,True,False,True,False,False,False,False,False,False,False,False,False,False,False,False,True,False,True,False,False,False]</t>
  </si>
  <si>
    <t>SetUpBreakfastTable</t>
  </si>
  <si>
    <t>[True,True,False,False,True,False,True,False,False,False,False,True,False,False,False,False,True,False,True,False,False,True,False,False,False,False,True,True,True,False,False,False,False,False,False,False,False,True,True,True,False,False,True,True,True,True,True,False,False,False]</t>
  </si>
  <si>
    <t>[False,False,False,False,False,False,False,False,False,False,True,False,False,False,False,False,False,False,False,False,False,False,False,True,False,False,False,Tru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True,False,False,False,True,False,False,False,False,False,False,False,False,False,False,False,True,False,False,False,False,False,False,False,True,False,False,False,False,False,False,False,False,False,True,False,False,False,False,False,False,False,False,False,False,True,False,False,False,False,False,False,False,False,False,False,False,False,False,False,False,True,False,False,True,False,False,False,True,False,False,False,False,True,False,True,False,True,False,False,False,False,False,False,False,False,False,True,False,False,True,False,False,False,False,False,False,False,False,False,True,False,False,False,False,False,False,False,False,False,False,False,False,False,True,False,False,False,False,False,False,False,False,False,True,False,False,False,False,False,False,False,False,False,False,False,False,False,False,False,True,True,True,False,True,False,False,False,False,False,False,False,False,False,True,False,False,False,False,True,False,False,False,False,False,True,False,False,False,False,False]</t>
  </si>
  <si>
    <t>[True,False,False,False,True,True,False,False,False,False,False,False,False,False,False,False,True,False,True,False,False,False,False,False,True,False,False,True,True,True,False,True,False,True,False,True,False,False,True,False,True,False,False,False,False,False,False,True,False,False,False,False,False,False,True,False,False,True,False,True,False,False,False,True,True,False,False,True,True,False,False,False,False,True,False,True,True,True,False,False,False,False,False,False,False,False,False,False,False,False,False,False,False,True,False,True,False,True,True,True,False,False,False,True,False,True,False,True,False,False,False,False,False,False,False,False,False,False,False,False,False,True,False,True,False,False,False,False,False,False,False,False,False,False,False,False,True,True,False,True,True,True,False,True,False,False,False,False,False,False,False,False,True,False,False,False,False,False,False,False,False,False,False,True,False,False,False,False,False,False,False,True,False,False,False,True,False,False,False,False,True,False,False,False,False,False,False,True,True,False,False,True,True,False,False,False,False,True,False,False,False,False,True,True,True,True,False,False,False,True,True,False,False,False,False,False,False,False,False,True,False,False,False,False,False,False,False,False,False,False,False,False,False,False,False,False,False,False,False,False,True,False,True,False,False,False,False,True,False,False]</t>
  </si>
  <si>
    <t>Fig4B_Sim_Unseen_Nominal</t>
  </si>
  <si>
    <t>DumpVegetablesFromSmallToLargeContainer</t>
  </si>
  <si>
    <t>[False,False,False,False,False,False,False,False,False,False,False,False,Tru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True,False,False,False,Tru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True,False,False,True,True,False,False,False,False,False,False,False,False,False,True,False,False,False,False,False,True,False,False,False,False,False,False,True,False,False,False,True,False,False,False,False,False,False,False,False,False,False,False,False]</t>
  </si>
  <si>
    <t>[False,False,False,True,False,False,False,False,True,False,False,False,False,False,False,False,False,False,False,False,False,False,False,False,False,False,False,False,False,False,False,False,False,False,False,True,False,False,False,False,False,False,True,False,False,False,False,False,False,False,False,False,False,False,False,False,False,False,False,True,False,False,False,False,False,False,False,False,False,False,False,True,False,False,False,True,False,False,False,True,False,False,False,False,False,False,False,False,False,False,False,False,False,True,False,True,False,True,False,False,False,True,False,False,False,False,False,False,False,False,False,False,False,False,False,False,False,False,False,False,False,False,False,False,False,False,True,False,False,False,True,True,False,False,False,False,False,False,False,False,False,True,False,False,False,False,False,False,False,False,False,False,True,True,False,False,False,False,False,False,False,False,False,True,False,False,False,False,False,False,False,False,False,False,False,False,False,False,False,False,False,False,False,False,False,False,False,False,False,False,False,False,False,False,False,False,False,False,True,False]</t>
  </si>
  <si>
    <t>PutContainersOnPlate</t>
  </si>
  <si>
    <t>[False,False,False,False,False,False,False,False,False,False,False,False,False,False,False,True,False,False,False,False,False,False,False,False,False,False,True,False,False,False,True,False,False,False,False,False,True,False,False,True,False,False,True,False,False,False,False,False,False,False,False,False,False,False,False,False,False,False,False,False,False,False,False,False,False,False,False,False,True,False,False,True,False,False,False,True,False,False,False,False,False,False,False,False,False,False,False,False,False,False,False,True,True,False,False,False,True,False,False,False,False,False,False,False,True,False,True,False,False,False,False,True,False,False,False,False,False,True,False,False,False,True,False,False,False,True,False,True,False,False,False,False,False,False,False,False,False,False,False,False,True,False,False,True,False,False,False,False,False,False,False,False,False,False,False,False,False,False,True,False,False,False,False,False,False,False,False,False,False,False,False,False,True,False,False,False,False,False,False,False,False,False,False,False,False,False,False,False,False,False,False,False,False,False,True,False,False,False,True]</t>
  </si>
  <si>
    <t>[False,True,False,False,True,True,False,False,False,False,False,False,False,False,False,False,False,False,True,False,False,False,False,False,False,False,True,False,False,False,False,True,True,False,True,True,False,False,False,True,False,False,False,False,False,True,False,False,False,False,False,False,False,False,False,False,True,False,False,False,True,False,False,False,False,False,False,False,True,False,False,False,False,False,True,True,False,False,False,False,False,False,False,False,False,False,False,False,True,True,False,False,False,False,False,False,True,False,False,False,True,False,True,False,False,True,False,False,False,False,False,False,True,False,False,False,False,True,False,True,False,False,True,False,False,False,True,True,False,False,True,False,True,False,False,False,False,False,False,False,False,False,True,True,False,False,True,True,True,False,False,False,False,False,False,False,False,False,True,False,False,False,False,False,False,False,False,True,True,True,False,True,False,False,False,False,False,False,False,False,False,False,False,False,False,False,False,False,False,False,False,False,False,False,True,False,False,False,False,False]</t>
  </si>
  <si>
    <t>PutFruitInLargeContainerAndCoverWithPlate</t>
  </si>
  <si>
    <t>[False,False,False,False,False,False,False,False,False,False,False,False,True,True,False,False,False,False,False,False,False,False,False,False,True,False,False,False,False,False,False,False,False,False,False,False,False,False,False,False,False,False,False,False,False,False,False,False,True,False,False,False,False,False,False,False,False,False,False,False,False,False,False,False,False,False,False,False,False,False,False,True,False,False,False,False,False,False,False,False,False,False,False,False,False,False,False,False,False,True,False,False,False,False,False,False,False,False,False,False,False,False,True,False,False,True,False,False,False,False,False,False,False,True,False,False,False,False,False,False,False,False,False,False,False,False,False,False,False,False,False,False,False,False,False,False,False,False,False,True,False,False,False,False,False,False,False,False,True,False,False,False,False,False,True,False,False,False,False,False,False,False,False,False,False,False,True,False,False,False,False,False,False,True,False,True,False,False,True,False,False,False,False,False,False,True,False,False,False,True,False,False,False,False,False,False,False,False,False,False]</t>
  </si>
  <si>
    <t>[True,False,False,False,True,True,False,False,False,False,False,True,False,False,False,False,False,False,True,True,False,False,True,False,True,True,False,False,False,False,True,True,False,True,False,False,False,False,False,True,False,False,False,False,True,True,True,True,True,False,False,True,False,True,False,True,False,False,True,False,True,True,True,False,False,False,True,False,True,False,False,False,True,False,True,True,False,True,False,False,False,True,False,False,False,False,False,False,False,True,False,False,False,False,False,False,False,False,True,True,False,False,False,False,False,True,True,False,False,True,False,False,True,True,False,False,False,False,False,True,False,False,True,False,False,True,False,False,False,False,False,True,False,False,False,False,True,False,False,False,False,False,True,True,False,False,True,False,False,False,False,True,True,True,True,False,False,False,True,True,True,False,True,False,False,False,False,False,False,False,True,False,False,False,False,False,True,True,True,False,True,False,True,False,True,False,False,True,False,False,False,False,False,False,False,False,False,False,False,False]</t>
  </si>
  <si>
    <t>SeparateFruitsVegetablesIntoContainers</t>
  </si>
  <si>
    <t>[False,False,False,False,False,False,False,False,False,False,False,False,False,False,False,False,False,False,False,False,False,False,False,False,False,Fals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</si>
  <si>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False,False,False,False,False,False,True,False,False,False,False,False,False,False,True,False,False,False,False,False,False,False,False,True,False,False,False,False,False,False,False,False,False,False,False,False,False,True,False,False,False,False,True,False,False,False,False,False,False,False,False,False,True,True,False,False,False,True,False,False,False,False,False,False,False,False,False,False,True,False,False,False,True,False,False,False,True,True,False,False,False,False,False,False,True,False,True,False,False,False,False,False,False,False,False,False,False,True,False,False,False,False,True,False,False,False,True,False,False,False,False,False,False,False,False,False,False,False,False,False,False,False,False,False,False,False,False,False,False,False,False,False,True,False,False,False,False,False,False,False,False,False,False,True,False,False,False,False,False,False,False,False,True,False,False,True,False,False,False,False,False,False,False,False,False,False,False,False,False,True,True,False,False,False,False,False,False,False,False,False,False,False,True,False,True,False,False,True,False,False,True,False,True,False,False,False,False,False,False,False]</t>
  </si>
  <si>
    <t>TurnLargeContainerUpsideDown</t>
  </si>
  <si>
    <t>[True,True,True,False,False,True,False,True,False,False,False,False,True,False,False,True,False,True,True,False,False,False,False,False,False,False,False,True,True,True,False,True,True,False,True,False,False,False,False,True,True,False,True,False,False,True,True,True,False,False,False,True,False,False,False,False,True,False,True,False,True,True,True,False,False,False,False,False,True,False,False,False,False,True,True,False,False,False,False,False,True,True,False,True,True,False,False,True,False,True,False,False,False,False,False,True,False,True,True,False,False,False,False,True,True,False,True,True,True,False,False,False,True,True,True,True,False,True,True,False,False,True,True,False,False,True,False,False,False,True,False,True,False,False,False,True,True,True,True,False,False,False,False,True,False,False,False,False,True,False,True,True,True,False,False,False,True,False,False,False,True,False,False,False,False,False,False,False,False,False,False,False,False,False,True,True,True,False,True,False,False,False,False,False,True,True,False,True,True,True,True,False,True,False,False,True,False,False,True,False]</t>
  </si>
  <si>
    <t>[False,False,True,False,False,True,False,True,True,False,False,False,True,True,False,False,False,True,True,False,True,True,True,False,True,False,False,True,True,False,False,False,True,True,True,True,True,False,True,True,False,True,False,False,False,True,True,True,False,False,True,True,True,True,False,False,False,False,False,False,False,True,True,False,True,True,False,False,False,True,False,False,False,True,True,False,False,True,False,False,True,False,True,True,False,True,True,True,True,True,False,False,False,False,False,True,False,True,True,False,True,True,False,True,False,True,False,False,True,False,True,False,False,True,True,True,False,False,True,True,True,True,False,False,False,False,False,False,True,True,False,False,False,False,False,True,True,True,False,True,False,False,True,True,True,False,False,False,True,False,True,False,False,True,False,False,True,False,True,True,True,True,False,True,True,False,True,True,False,False,False,False,False,True,True,False,False,False,True,False,False,False,False,False,True,True,False,True,False,True,True,False,True,True,False,False,False,True,True,False]</t>
  </si>
  <si>
    <t>[False,False,False,False,False,False,False,False,False,False,False,False,False,False,False,False,False,False,False,True,False,False,False,False,False,False,False,False,False,False,False,False,False,False,False,False,False,False,False,False,False,False,True,False,True,False,True,False,False,True,False,True,False,False,False,True,False,True,False,False,False,False,False,False,False,True,False,False,False,False,False,False,False,False,False,False,False,False,False,False,False,False,False,False,True,True,True,False,False,False,False,False,False,False,False,False,False,False,True,True,False,False,False,False,False,False,False,False,False,False,False,False,False,False,False,False,False,False,True,False,False,False,False,False,False,True,False,False,False,False,False,False,False,False,False,False,True,False,False,False,False,False,False,False,False,False,False,False,False,True,False,False,False,False,True,True,False,False,False,False,False,True,False,True,False,False,False,True,False,False,False,False,False,False,False,True,False,True,False,False,False,False,False,False,False,False,False,False,False,False,False,True,False,False,False,False,False,True,False,False,False,False,False,True,False,False,False,False,False,False,False,False,False,True,False,False,False,False,False,True,False,False,False,False,False,False,False,False,False,False,False,False,False,True,False,False,False,True,False,True,False,False,False,False,False,False,False,True,False,False,True,False,False,False,False,False,False,False,True,False,False,False,False,False,False,False,True,False,False,False,False,False,False,False,False,False,False,False,True,False,False,True,False,False,False,False,False,False,False,False,False,False,True,True,False,False,False,False,False,False,False,False,True,False,False,False,True,False,False,False,False,False,True,False,False,False,False,False,False,False,False,True,False,False,False,False,False,False,False,False,False,False,False,False,False,False,False,False,False,False,False,False,False,False,False,True,False,False,False,True,False,True,False,True,False,False,False,True,False,True,False,True,False,False,False,False,True,False,True,False,False,False,False,False,False,False,False,False,False,False,False,False,False,False,True,False,False,False,False,False,True,False,False,False,False,True,False,False,False,False,False,False,True,False,False,False,False,False,True,False,False,False,False,False,False,False,False,False,False,False,True,False,False,True,False,False,False,False,False,True,False,False,False,True,True,False,False,False,False,False,True,False,False,False,False,False,False,False,False,False,False,False,False,False,False,True,False,True,False,False,True,True,False,True,False,False,False,False,False,False,False,False,False,False,False,False,True,False,False,False,False,False,False,False,False,True,True,False,False,False,False,False,True,False,False,False,False,False,False,False,False,False,False,False,False,False,False,False,False,False,False,False,True,False,False,False,False,False,True,False,False,False,False,False,False,False,False,False,False,False,False,False,False,False,True,False,False,False,False,False,False,False,False,False,False,True,True,True,False,False,False,False,False,False,False,False,False,True,True,False,False,False,False,True,False,False,False,False,False,False,False,False,False,True,False,False,False,False,False,False,False,False,False,False,True,False,True,False,False,False,False,False,False,False,False,False,False,False,False,False,False,False,False,False,False,True,False,False,False,True,False,False,False,True,False,False,False,False,True,True,True,False,True,False,False,False,True,False,False,False,False,False,True,True,False,True,Tru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True,False,False,False,False,True,False,False,True,False,False,True,False,False,False,False,False,True,False,False,False,False,False,False,True,False,False,False,False,False,False,False,False,False,False,True,False,False,False,False,False,False,False,False,False,True,False,False,False,False,False,False,False,False,False,False,False,False,True,False,False,False,False,False,False,True,False,False,False,False,False,False,False,False,False,False,False,False,False,True,False,False,False,False,False,True,True,True,False,True,True,True,False,False,False,False,False,False,False,True,False,False,False,False,False,False,False,False,True,False,False,False,True,False,False,False,False,False,True,False,False,False,False,False,True,False,False,False,False,False,False,False,False,False,False,False,False,False,True,False,False,False,True,False,False,False,False,False,True,False,False,False,False,False,False,False,False,False,False,True,False,False,False,True,False,False,False,False,False,False,False,True,True,False,False,False,False,True,False,False,False,False,False,False,False,False,False,False,False,False,False,False,False,False,False,True,False,True,False,False,False,False,False,False,False,True,False,True,False,False,False,False,True,False,False,False,False,False,False,False,False,False,False,False,False,True,False,False,False,True,True,False,False,False,False,False,False,False,False,False,False,False,False,False,False,False,True,False,False,False,False,False,False,True,False,False,False,False,False,False,False,False,False,False,True,False,False,False,False,False,False,False,False,False,False,False,False,False,False,False,False,False,False,False,False,False,False,False,False,False,False,False,False,False,False,False,False,True,False,False,False,False,False,False,False,False,False,False,False,False,False]</t>
  </si>
  <si>
    <t>[False,False,True,True,False,False,True,False,False,True,True,True,False,False,False,False,False,True,False,True,False,True,False,False,False,False,False,True,True,False,False,False,True,False,True,False,False,False,False,False,False,False,False,False,True,False,True,False,False,False,False,False,True,False,True,False,True,False,False,True,False,True,False,False,False,False,False,False,False,False,True,False,True,False,True,True,True,False,False,False,False,False,False,False,True,False,True,False,False,False,False,True,False,False,False,True,False,False,False,False,True,False,False,False,False,False,False,False,False,False,False,False,False,False,False,False,False,False,False,False,True,False,False,True,False,False,False,False,False,False,True,False,False,False,True,True,True,True,False,False,False,False,False,False,False,True,False,False,True,False,False,True,True,False,False,True,False,False,False,True,False,True,True,False,False,False,False,False,False,False,True,False,False,True,False,True,False,True,False,False,False,True,False,True,True,False,False,False,False,False,True,False,False,True,True,False,False,False,False,True,True,False,False,False,True,False,False,False,False,False,False,False,True,False,False,True,False,False,False,False,False,False,False,False,False,False,False,False,True,False,False,False,False,False,False,True,True,False,False,False,False,False,False,False,False,False,True,False,False,True,False,True,True,False,False,True,False,True,False,False,False,False,False,False,False,True,False,False,True,False,True,False,False,False,True,True,False,False,False,False,True,False,False,False,True,False,False,True,True,True,False,False,False,True,True,False,False,False,False,False,False,False,False,False,False,True,False,False,False,False,False,False,True,True,False,True,False,False,True,False,False,True,False,True,False,False,False,False,False,False,False,False,False,False,True,False,False,False,False,True,False,False,False,False,True,True,True,False,True,True,False,False,True,False,False,False,False,False,False,False,False,True,False,True,False,False,True,False,False,True,True,False,False,False,False,False,False,True,True,False,True,False,False,False,False,False,False,False,True,False,False,False,False,False,False,False,True,False,False,False,False,False,True,False,False,False,False,False,False,False,False,False,False,False,False,False,False,False,False,False,False,True,False,True,False,False,False,False,False,False,True,True,False,False,False,False,False,True,False,False,True,False,False,False,False,False,True,False,True,True,True,False,True,True,False,False,False,True,False,False,False,True,False,False,False,True,False,False,False,False,True,False,False,False,False,False,True,False,False,False,True,False,False,False,False,False,False,True,False,False,True,True,False,True,False,False,False,False,False,False,False,False,False,False,False,False,True,False,False,False,False,False,False,False,False,False,True,False,False,False,False,True,False,False,False,False,False,False,False,False,False,False,False,True,False,False,False,False,False,False,False,True,False,False,False,True,False,False,False,False,True,False,False,False,False,False,False,False,True,False,False,False,False,False,False,True,False,False,False,False,False,False,False,False,False,False,False,False,True,False,True,True,False,False,False,False,False,False,False,False,False,False,True,False,False,False,False,False,False,False,True,False,False,True,True,True,False,True,False,False,False,True,False,False,True,False,True,False,False,False,False,False,False,False,False,False,False,False,True,False,True,False,True,True,False,False,False,False,True,True,False,False,True,True,True,True,False,False,False,False,False,True,False,False,False,True,True,False,False,True,True,False,False,False,False,False,True,False,False,False,True,False,False,False,True,False,False,False,False,False,False,True,True,True,False,False,False,False,False,False,False,False,False,False,False,True,False,False,False,False,False,False,False,False,True,False,False,True,True,False,False,False,False,True,False,False,True,False,False,False,False,False,False,False,False,False,False,False,False,False,False,False,False,True,False,False,False,False,False,True,False,False,True,False,False,False,False,False,False,False,False,False,False,False,False,False,False,True,True,False,False,True,True,False,False,False,True,True,False,False,False,True,True,False,False,False,False,False,True,False,True,False,False,False,False,False,False,False,True,False,False,True,False,True,False,False,True,False,True,True,False,False,False,False,True,True,False,True,False,False,False,False,False,False,False,False,False,False,False,False,False,False,False,True,True,True,False,False,False,False,False,False,False,False,False,False,True,True,False,False,True,False,False,False,False,True,False,True,False,True,False,False,False,False,False,True,True,False,False,False,False,True,False,False,True,True,False,False,False,False,True,False,True,False,False,False,False,False,False,False,False,False,False,False,False,False,False,True,False,False,False,False,False,False,False,False,False,True,False,False,False,False,True,True,False,False,False,False,False,False,True,False,False,False,False,True,False,False,False,True,False,True,True,True,False,False,False,False,False,False,True,True,True,False,True,False,False,False,True,True,False,False,False,True,False,False,False,False,True,False,False,False,True,True,False,False,False,False,False,True,False,False,False,False,False,False,False,True,False,False,False,False,False,False,False,True,True,False,False,False,True,False,False,False,False,False,False,True,True,False,True,False,False,False,False,False,True,True,True,True]</t>
  </si>
  <si>
    <t>Fraction</t>
  </si>
  <si>
    <t>Fig4C_Sim_Unseen_Nominal_Scaling</t>
  </si>
  <si>
    <t>Aggregate - Unseen Sim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</si>
  <si>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</si>
  <si>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Tru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</si>
  <si>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Tru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Tru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True,False,False,False,False,False,False,False,False,False,False,False,False,False,False,False,False,Tru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Tru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True,False,False,False,False,False,False,False,False,False,False,False,False,False,False,False,False,False,False,False,False,False,False,Tru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]</t>
  </si>
  <si>
    <t>[False,False,False,False,False,False,False,False,False,False,True,False,False,True,False,False,False,False,False,False,False,False,False,False,False,False,False,False,False,False,False,False,False,False,False,False,False,True,False,False,False,False,False,False,False,False,False,False,False,False,False,False,False,True,True,False,False,False,False,False,False,False,False,False,False,False,False,False,False,False,False,True,False,False,False,False,False,False,False,False,False,False,False,False,False,False,False,False,False,False,False,False,False,False,False,False,False,False,False,False,True,False,Tru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True,False,False,False,False,False,False,False,True,True,False,False,False,False,False,False,False,False,False,False,False,False,False,False,Fals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Tru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True,False,False,False,False,False,False,False,False,False,False,False,False,False,False,False,False,False,False,False,False,True,False,False,False,False,False,False,False,False,False,False,False,False,False,False,False,False,False,True,False,False,False,False,False,False,False,False,False,False,Fals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True,False,True,False,False,False,False,False,False,False,False,False,False,False,False,False,False,True,False,False,False,False,False,False,False,True,False,True,False,False,Tru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True,False,False,True,False,False,False,False,Tru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True,False,False,False,True,True,False,False,False,False,False,True,False,False,False,False,False,Tru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True,False,True,False,False,False,False,False,False,False,False,False,False,False,False,False,False,False,False,False,False,False,False,False,False,False,False,False,False,False,False,False,False,False,False,False,True,True,False,False,False,False]</t>
  </si>
  <si>
    <t>[False,False,True,False,False,True,False,False,False,False,True,False,False,False,True,False,False,False,False,False,True,False,False,False,False,False,False,False,False,False,True,False,False,False,False,False,False,False,False,False,False,True,False,False,False,False,False,False,False,False,False,True,True,False,True,False,True,False,False,False,False,False,False,False,False,False,False,False,False,True,False,False,False,False,True,True,False,False,False,False,False,False,False,False,False,False,True,False,False,False,False,False,False,False,False,False,False,False,False,False,False,True,False,False,True,False,False,False,False,True,False,False,False,False,False,False,False,True,False,True,False,True,False,False,False,True,False,False,False,True,True,False,False,True,False,False,False,True,False,False,True,True,False,False,False,False,False,False,False,True,False,False,False,False,False,True,False,False,True,False,False,False,False,False,True,False,False,False,False,False,False,False,False,False,False,True,True,False,False,False,False,False,False,False,True,False,False,False,False,False,False,False,True,False,True,False,False,True,False,False,False,False,True,False,True,False,False,False,False,False,False,False,False,False,False,False,True,False,False,False,True,False,False,True,False,False,False,False,False,False,False,False,False,False,False,False,True,False,False,False,False,False,False,True,True,False,False,False,False,False,False,False,False,False,False,False,False,False,False,True,False,False,False,False,False,False,False,False,False,False,False,False,False,False,False,False,False,False,False,False,False,False,True,False,False,False,False,False,False,False,False,False,False,False,True,False,True,False,False,False,False,False,False,False,False,False,False,True,True,False,False,False,False,False,False,True,False,False,False,False,True,False,False,False,False,False,False,False,True,True,False,False,True,False,False,False,True,False,False,False,True,False,False,False,False,False,True,False,False,False,True,False,False,False,True,False,False,False,False,False,False,False,True,False,False,False,True,False,False,False,False,False,False,False,False,False,False,True,True,False,True,False,False,False,False,False,False,True,True,False,False,True,False,False,False,False,False,False,False,False,False,False,True,False,False,True,False,False,False,False,False,False,False,False,False,False,False,True,False,True,False,False,False,False,False,True,False,True,False,False,False,True,False,True,False,False,True,False,False,False,False,False,False,True,False,False,False,False,True,True,False,False,False,False,False,False,False,False,False,False,False,False,False,False,False,False,False,False,False,False,False,False,False,False,False,True,False,False,False,False,False,False,False,False,True,False,False,False,False,False,False,False,False,False,False,False,True,False,False,True,False,False,True,True,False,False,True,True,False,False,False,True,False,False,False,False,False,False,True,False,False,False,False,False,False,False,False,False,False,False,False,False,False,False,False,False,True,False,False,False,False,False,False,False,False,False,False,False,False,False,False,False,False,True,False,False,True,False,False,False,False,False,True,False,False,False,False,True,False,False,False,False,False,False,True,False,False,False,True,True,False,False,False,False,False,False,False,False,False,False,False,True,False,True,True,False,False,False,False,False,False,False,False,False,False,False,False,False,False,False,True,False,True,False,False,False,False,False,False,False,False,False,False,False,False,False,True,False,True,True,False,False,False,False,True,False,False,False,False,True,False,False,False,False,False,False,True,False,True,False,False,True,True,False,False,False,False,False,False,False,False,False,False,False,False,True,True,False,False,True,True,False,False,False,False,False,True,False,False,False,False,False,False,False,False,False,True,False,True,True,False,False,False,False,True,False,False,True,True,False,False,False,False,False,False,False,False,True,True,False,False,False,False,False,True,True,False,False,False,False,False,True,False,False,True,False,False,False,True,True,False,False,False,False,False,False,False,True,False,False,False,False,False,False,False,True,False,False,True,False,False,False,False,False,False,False,False,False,False,False,False,False,True,False,False,True,False,False,False,False,False,True,False,False,True,False,False,False,False,False,False,True,False,False,False,False,False,False,True,False,False,False,False,False,False,False,False,False,False,True,True,False,True,True,False,False,False,False,True,True,True,False,False,True,False,False,False,False,False,False,False,False,False,False,True,False,True,False,False,False,False,False,False,False,False,False,True,False,False,True,True,False,True,False,False,False,False,False,True,False,False,False,False,False,True,False,False,False,False,False,False,False,False,False,False,True,True,False,False,False,True,False,False,False,False,False,True,True,False,False,False,True,False,False,True,False,True,False,False,False,False,False,False,False,False,False,False,True,True,False,False,False,False,False,False,False,True,True,True,False,False,False,False,True,False,True,False,False,False,True,False,False,True,False,False,False,False,True,False,False,True,False,False,False,False,False,False,False,False,False,False,True,False,False,True,False,False,False,False,False,False,False,True,False,False,False,False,False,False,False,False,False,False,False,False,True,False,False,False,False,True,False,False,False,False,False,False,False,False,False,True,False,False,False,False,False,False,False,False,False,False,False,False,False,False,True,False,False,False,False]</t>
  </si>
  <si>
    <t>[False,False,False,True,False,False,True,False,False,False,False,False,False,True,False,False,False,False,False,False,False,False,False,False,False,False,False,False,False,False,False,False,False,False,False,False,False,False,False,False,False,False,True,False,False,False,False,False,True,False,False,False,True,False,False,False,False,False,True,False,False,False,False,False,False,False,False,False,False,False,False,False,False,False,False,False,False,False,False,False,True,True,True,False,True,False,False,False,True,True,False,False,True,False,False,False,False,False,True,False,False,False,False,False,False,False,False,False,True,False,False,False,False,True,False,False,False,False,False,False,False,False,False,False,False,False,False,False,False,False,False,False,False,False,False,False,False,False,False,True,False,False,False,False,False,True,True,False,False,False,False,False,False,True,False,False,False,False,False,False,False,False,False,True,False,False,False,False,False,False,False,False,False,False,False,False,False,False,False,False,False,True,False,False,False,False,False,False,False,False,False,False,False,False,False,False,True,False,False,True,False,False,False,False,False,True,False,False,False,False,False,False,False,False,False,True,False,False,False,False,False,False,False,False,False,False,False,False,True,False,True,True,True,False,False,False,False,True,False,False,False,False,False,False,True,False,False,False,False,True,True,False,False,False,False,True,False,False,False,False,False,False,True,False,False,False,False,False,False,False,False,False,False,False,False,False,False,False,False,False,False,False,False,False,True,False,True,False,False,True,False,False,False,False,False,False,False,False,False,False,False,False,False,False,False,False,False,False,True,False,True,False,True,False,True,False,False,False,False,False,False,False,False,False,True,False,False,True,False,False,False,False,False,False,False,False,False,False,False,False,False,True,False,False,False,False,False,False,False,False,False,False,True,False,True,False,False,False,False,False,False,False,False,False,True,False,False,False,True,True,False,False,False,False,False,True,False,False,False,False,False,False,False,False,False,False,True,False,False,True,False,True,False,False,False,False,True,True,True,False,False,False,False,False,False,False,False,False,False,True,False,False,False,False,False,True,False,False,False,False,False,False,True,True,False,False,False,False,True,False,False,False,False,False,False,False,False,False,False,False,False,False,False,False,False,False,False,False,True,True,False,False,False,False,False,False,False,False,False,False,False,False,False,False,False,False,False,False,False,False,False,False,False,True,False,False,False,False,True,False,False,False,False,False,True,False,False,False,False,False,False,False,False,False,False,False,False,False,False,False,False,False,False,False,False,False,False,False,False,False,True,False,False,False,False,False,False,False,False,False,False,False,False,False,False,False,False,False,False,False,False,True,False,False,False,False,False,False,False,True,False,False,False,False,False,True,False,False,False,False,False,False,False,False,False,False,True,False,False,False,False,False,False,False,False,False,False,False,False,False,False,False,False,False,False,False,True,False,False,False,False,False,False,False,False,False,True,False,False,False,False,False,False,False,False,False,True,False,False,False,True,False,False,True,False,True,False,True,False,False,False,False,False,False,True,False,False,False,False,True,False,False,False,True,False,True,False,False,False,False,False,False,False,False,False,False,False,False,True,False,False,False,False,False,False,False,False,False,False,False,False,False,False,False,False,False,False,False,False,False,False,False,False,True,False,True,False,False,False,False,True,False,False,False,False,False,False,False,False,False,False,False,False,False,True,False,False,False,True,True,True,False,False,False,False,False,False,True,True,False,False,False,False,True,False,False,False,False,False,False,False,False,False,True,False,True,False,False,False,False,False,False,False,True,False,False,False,False,False,False,False,False,False,False,False,False,False,False,False,False,False,False,False,True,False,True,False,False,False,False,True,False,False,False,False,True,False,False,True,False,False,False,False,False,False,False,True,False,False,False,True,True,False,False,False,False,False,False,False,False,False,False,False,False,False,False,False,False,False,False,True,False,False,True,False,True,False,False,False,False,False,False,False,False,False,False,False,False,False,False,False,True,False,False,False,False,False,False,False,True,False,False,True,True,True,False,False,False,False,False,False,True,False,False,False,False,False,False,False,True,False,False,False,False,False,False,False,False,False,False,False,False,False,False,True,False,False,False,True,False,False,False,False,False,False,False,False,False,True,True,False,False,False,False,False,False,False,False,False,True,True,False,False,False,False,False,False,False,True,False,False,False,True,True,True,False,False,False,False,False,False,False,False,False,False,False,False,False,False,False,False,False,False,False,False,False,False,False,False,False,False,False,True,True,False,False,False,False,False,False,False,True,False,False,False,True,False,False,False,False,True,True,False,False,False,False,False,False,False,False,False,False,True,False,False,False,False,False,False,False,False,False,False,False,False,False,False,False,False,True,False,True,False,False,True,False,False,True,False,True,False,False,False,False,False,False,False,False,False,False,False,False,True,False,True,False,False,False,False]</t>
  </si>
  <si>
    <t>[False,False,False,True,True,False,False,False,False,True,True,False,False,False,True,False,True,False,False,False,False,False,False,False,False,False,True,False,True,False,False,False,False,False,True,False,False,False,False,False,False,False,False,False,True,True,True,True,False,False,False,False,True,True,False,True,False,False,False,False,True,True,True,False,False,False,True,False,False,True,False,False,False,False,False,False,False,False,False,False,False,False,False,False,True,True,False,True,False,False,False,False,False,True,False,False,False,False,False,True,False,False,True,True,False,False,True,False,False,False,False,True,True,False,True,False,False,False,False,False,False,True,False,False,False,False,False,False,False,False,True,False,False,False,False,True,True,False,False,False,False,True,False,False,False,False,True,False,True,True,False,False,False,True,False,False,False,False,False,False,False,False,False,False,False,True,False,False,True,False,False,False,False,True,True,False,True,False,False,False,True,False,False,False,True,False,False,False,False,False,False,True,False,False,True,False,True,True,False,False,True,False,False,False,False,False,False,False,False,False,False,True,False,False,False,False,False,False,False,False,True,True,False,False,False,False,True,False,False,False,True,False,False,False,False,True,True,True,False,False,False,False,False,False,False,True,False,False,False,False,True,True,False,False,False,False,False,False,True,False,False,False,False,False,False,False,True,False,False,False,False,False,False,False,False,False,False,False,False,False,False,False,False,False,False,False,True,False,False,False,True,False,False,False,False,True,False,False,True,True,False,False,False,False,False,False,True,False,True,False,False,False,True,False,False,False,False,False,False,False,False,False,False,True,False,False,False,True,False,True,False,False,True,False,True,False,False,True,False,False,True,False,False,False,True,False,False,False,False,False,False,False,False,True,True,False,False,True,False,False,False,False,True,False,True,False,False,True,False,False,True,False,False,True,False,True,True,False,True,True,True,False,False,True,False,True,False,True,False,True,False,False,False,False,False,False,False,False,False,False,False,False,False,False,False,False,False,True,True,False,True,False,True,False,False,False,True,False,True,False,False,False,False,False,False,True,False,False,False,True,False,False,True,True,False,False,True,False,False,True,True,False,False,True,False,True,True,False,False,False,False,False,True,False,True,True,False,False,False,False,True,False,False,True,False,False,False,True,False,True,False,False,False,False,True,False,False,False,False,False,False,False,False,False,False,False,False,True,False,False,False,False,False,True,True,False,True,True,False,False,False,True,False,False,False,False,False,False,False,False,False,True,False,False,False,False,False,False,True,False,False,False,False,True,False,False,False,False,False,False,False,True,False,True,False,False,False,False,False,True,True,False,False,False,False,False,False,False,False,False,False,False,True,False,False,True,False,False,True,False,False,True,False,False,False,False,True,False,True,False,False,True,False,False,False,False,True,True,False,False,False,True,False,False,False,False,False,False,False,False,False,True,False,True,False,False,False,False,False,False,False,False,False,True,False,False,True,False,True,False,True,False,False,True,False,False,True,False,False,False,False,True,False,True,True,False,False,False,False,False,True,False,True,False,False,False,False,True,False,True,False,False,False,False,True,False,True,False,False,False,False,False,False,False,False,True,False,True,True,False,False,True,False,False,False,False,False,False,False,False,False,False,False,True,False,False,False,False,False,True,False,False,True,True,False,False,False,False,False,False,True,False,False,False,False,False,False,True,False,True,False,True,True,False,False,False,True,False,True,False,True,False,True,False,False,False,True,True,False,False,True,False,False,False,True,False,False,False,True,False,False,False,False,False,False,False,True,False,False,False,True,False,False,False,False,False,False,False,False,False,False,False,False,False,False,False,False,True,False,True,True,False,False,False,False,False,False,False,False,True,False,False,False,False,False,True,False,False,False,False,False,False,False,False,False,False,False,False,False,False,True,False,True,False,False,False,False,True,False,True,True,False,False,False,False,False,False,True,True,False,True,False,False,False,False,False,False,False,False,False,False,False,False,False,False,False,False,False,True,False,False,False,False,False,False,True,False,False,True,False,False,True,False,False,False,False,False,True,False,False,True,True,False,False,False,True,False,False,False,False,False,False,True,True,False,False,True,True,True,False,True,True,False,True,True,False,True,False,False,False,False,False,True,False,False,False,False,False,False,False,False,False,False,True,False,True,True,False,False,False,True,False,True,False,True,False,False,False,True,True,False,False,False,True,False,True,False,False,False,False,False,False,False,True,True,False,False,True,True,True,False,False,False,False,False,False,False,True,False,True,False,True,False,False,False,False,False,False,True,False,False,False,False,False,False,True,False,False,False,True,False,False,False,False,False,False,False,False,False,False,False,False,False,True,False,False,False,False,False,False,False,True,False,False,True,False,False,False,False,True,False,False,True,False,False,True,False,False,False,True]</t>
  </si>
  <si>
    <t>Task_Progress_Results</t>
  </si>
  <si>
    <t>Task_Progress_Bins</t>
  </si>
  <si>
    <t>Avg_Task_Progress</t>
  </si>
  <si>
    <t>Num_Milestones</t>
  </si>
  <si>
    <t>Fig4D_HW_Unseen_Nominal_Progress</t>
  </si>
  <si>
    <t>[0.53846154,0.38461538,0.38461538,0.53846154,0.38461538,0.92307692,0.53846154,0.53846154,0.53846154,0.46153846,0.53846154,0.53846154,1.,0.38461538,0.,0.53846154,0.53846154,0.15384615,1.,0.53846154,1.,0.15384615,1.,0.53846154,1.,0.53846154,0.07692308,0.53846154,1.,0.07692308,0.38461538,0.30769231,1.,0.53846154,1.,1.,0.92307692,1.,0.53846154,1.,0.38461538,1.,1.,0.38461538,0.53846154,1.,0.23076923,0.,0.53846154,0.92307692]</t>
  </si>
  <si>
    <t>[0.,0.07692308,0.15384615,0.23076923,0.30769231,0.38461538,0.46153846,0.53846154,0.61538462,0.69230769,0.76923077,0.84615385,0.92307692,1.]</t>
  </si>
  <si>
    <t>LBM Finetuned</t>
  </si>
  <si>
    <t>[1.,0.30769231,0.53846154,1.,1.,0.46153846,1.,0.15384615,0.38461538,0.38461538,0.53846154,0.53846154,0.92307692,0.38461538,0.07692308,0.38461538,0.53846154,0.46153846,0.84615385,0.53846154,0.53846154,0.76923077,0.53846154,0.53846154,0.07692308,0.53846154,0.46153846,0.53846154,0.53846154,0.38461538,1.,1.,0.92307692,0.38461538,0.53846154,1.,0.46153846,0.38461538,1.,0.46153846,0.30769231,0.38461538,0.92307692,0.38461538,0.15384615,0.46153846,0.53846154,1.,0.53846154,0.38461538]</t>
  </si>
  <si>
    <t>[0.85714286,0.,0.14285714,0.,0.14285714,1.,0.14285714,0.71428571,0.14285714,0.71428571,0.28571429,0.,0.71428571,0.28571429,1.,0.57142857,0.,0.57142857,0.14285714,0.57142857,0.14285714,0.57142857,0.,0.42857143,0.57142857,0.14285714,1.,0.85714286,0.85714286,0.28571429,0.71428571,0.14285714,0.14285714,0.71428571,0.,0.28571429,0.14285714,0.42857143,0.,0.,0.71428571,0.85714286,0.14285714,0.42857143,0.,0.71428571,0.85714286,0.14285714,0.,1.]</t>
  </si>
  <si>
    <t>[0.,0.14285714,0.28571429,0.42857143,0.57142857,0.71428571,0.85714286,1.]</t>
  </si>
  <si>
    <t>[0.85714286,0.28571429,0.14285714,0.42857143,0.,1.,0.57142857,0.85714286,0.28571429,0.85714286,0.57142857,0.28571429,0.85714286,0.42857143,1.,0.71428571,0.57142857,0.85714286,0.57142857,0.57142857,0.28571429,0.85714286,0.42857143,0.71428571,0.85714286,0.85714286,0.85714286,0.57142857,0.,0.42857143,0.71428571,0.85714286,0.57142857,0.85714286,0.71428571,0.85714286,0.57142857,0.14285714,0.57142857,0.,0.85714286,0.85714286,0.85714286,0.57142857,0.57142857,0.57142857,0.85714286,0.85714286,0.42857143,1.]</t>
  </si>
  <si>
    <t>[0.,0.57142857,1.,0.57142857,0.57142857,0.,0.57142857,0.85714286,0.28571429,0.28571429,0.14285714,0.14285714,0.85714286,0.85714286,0.,0.14285714,0.57142857,0.28571429,0.85714286,0.,0.,0.,0.85714286,1.,0.,1.,0.,0.85714286,0.28571429,0.14285714,1.,1.,0.14285714,0.14285714,0.14285714,0.28571429,0.85714286,0.57142857,0.14285714,0.,0.57142857,0.14285714,0.57142857,0.,0.85714286,0.57142857,0.14285714,1.,0.,1.]</t>
  </si>
  <si>
    <t>[0.57142857,0.28571429,0.85714286,1.,1.,0.85714286,0.28571429,0.85714286,0.85714286,1.,1.,0.85714286,1.,1.,0.85714286,0.85714286,0.57142857,0.14285714,0.,1.,0.57142857,0.28571429,1.,1.,1.,0.57142857,1.,1.,0.57142857,1.,1.,0.57142857,0.85714286,0.85714286,1.,1.,0.57142857,1.,0.85714286,0.85714286,0.85714286,1.,1.,0.71428571,0.85714286,1.,0.71428571,0.85714286,1.,1.]</t>
  </si>
  <si>
    <t>[0.78571429,0.57142857,1.,0.85714286,0.57142857,0.85714286,1.,0.78571429,0.42857143,0.42857143,0.71428571,0.85714286,0.71428571,0.92857143,0.85714286,0.,0.64285714,0.57142857,0.42857143,0.,0.85714286,0.35714286,0.35714286,0.42857143,0.85714286,0.07142857,0.35714286,0.,0.35714286,1.,0.85714286,0.78571429,0.57142857,0.5,0.85714286,0.85714286,0.5,0.85714286,0.42857143,1.,0.35714286,0.85714286,0.,0.85714286,0.5,0.5,0.57142857,0.85714286,0.5,0.78571429]</t>
  </si>
  <si>
    <t>[0.,0.07142857,0.14285714,0.21428571,0.28571429,0.35714286,0.42857143,0.5,0.57142857,0.64285714,0.71428571,0.78571429,0.85714286,0.92857143,1.]</t>
  </si>
  <si>
    <t>[0.57142857,1.,0.85714286,0.85714286,0.85714286,0.92857143,0.85714286,0.85714286,0.35714286,0.35714286,1.,0.92857143,0.92857143,0.78571429,0.57142857,1.,0.92857143,0.85714286,0.92857143,0.78571429,0.85714286,0.35714286,0.42857143,0.78571429,0.57142857,0.85714286,1.,0.85714286,1.,1.,0.57142857,1.,0.42857143,0.57142857,0.78571429,0.5,0.85714286,0.92857143,0.92857143,0.5,0.35714286,0.92857143,0.92857143,0.78571429,1.,0.92857143,1.,0.85714286,0.78571429,0.42857143]</t>
  </si>
  <si>
    <t>[0.33333333,0.33333333,0.75,0.66666667,0.66666667,0.83333333,0.25,0.58333333,0.5,0.58333333,0.75,0.33333333,0.16666667,0.33333333,0.33333333,0.41666667,0.41666667,0.33333333,0.66666667,0.33333333,0.41666667,0.58333333,0.33333333,0.58333333,0.41666667,0.5,0.25,0.5,0.5,0.41666667,0.5,0.5,0.66666667,0.66666667,0.33333333,0.08333333,0.5,0.66666667,0.25,0.25,0.25,0.33333333,0.66666667,0.5,0.66666667,0.66666667,0.66666667,0.41666667,0.25,0.33333333]</t>
  </si>
  <si>
    <t>[0.,0.08333333,0.16666667,0.25,0.33333333,0.41666667,0.5,0.58333333,0.66666667,0.75,0.83333333,0.91666667,1.]</t>
  </si>
  <si>
    <t>[1.,1.,0.91666667,0.91666667,1.,0.91666667,1.,0.75,0.91666667,0.83333333,0.91666667,1.,0.83333333,0.83333333,0.91666667,0.83333333,1.,0.91666667,1.,0.,0.91666667,1.,0.91666667,0.5,0.83333333,0.75,1.,1.,1.,0.66666667,0.83333333,0.83333333,0.41666667,0.83333333,0.66666667,0.,0.91666667,1.,1.,1.,0.83333333,0.91666667,1.,1.,1.,1.,1.,0.66666667,0.75,0.75]</t>
  </si>
  <si>
    <t>[0.53846154,0.38461538,0.38461538,0.53846154,0.38461538,0.92307692,0.53846154,0.53846154,0.53846154,0.46153846,0.53846154,0.53846154,1.,0.38461538,0.,0.53846154,0.53846154,0.15384615,1.,0.53846154,1.,0.15384615,1.,0.53846154,1.,0.53846154,0.07692308,0.53846154,1.,0.07692308,0.38461538,0.30769231,1.,0.53846154,1.,1.,0.92307692,1.,0.53846154,1.,0.38461538,1.,1.,0.38461538,0.53846154,1.,0.23076923,0.,0.53846154,0.92307692,0.85714286,0.,0.14285714,0.,0.14285714,1.,0.14285714,0.71428571,0.14285714,0.71428571,0.28571429,0.,0.71428571,0.28571429,1.,0.57142857,0.,0.57142857,0.14285714,0.57142857,0.14285714,0.57142857,0.,0.42857143,0.57142857,0.14285714,1.,0.85714286,0.85714286,0.28571429,0.71428571,0.14285714,0.14285714,0.71428571,0.,0.28571429,0.14285714,0.42857143,0.,0.,0.71428571,0.85714286,0.14285714,0.42857143,0.,0.71428571,0.85714286,0.14285714,0.,1.,0.,0.57142857,1.,0.57142857,0.57142857,0.,0.57142857,0.85714286,0.28571429,0.28571429,0.14285714,0.14285714,0.85714286,0.85714286,0.,0.14285714,0.57142857,0.28571429,0.85714286,0.,0.,0.,0.85714286,1.,0.,1.,0.,0.85714286,0.28571429,0.14285714,1.,1.,0.14285714,0.14285714,0.14285714,0.28571429,0.85714286,0.57142857,0.14285714,0.,0.57142857,0.14285714,0.57142857,0.,0.85714286,0.57142857,0.14285714,1.,0.,1.,0.78571429,0.57142857,1.,0.85714286,0.57142857,0.85714286,1.,0.78571429,0.42857143,0.42857143,0.71428571,0.85714286,0.71428571,0.92857143,0.85714286,0.,0.64285714,0.57142857,0.42857143,0.,0.85714286,0.35714286,0.35714286,0.42857143,0.85714286,0.07142857,0.35714286,0.,0.35714286,1.,0.85714286,0.78571429,0.57142857,0.5,0.85714286,0.85714286,0.5,0.85714286,0.42857143,1.,0.35714286,0.85714286,0.,0.85714286,0.5,0.5,0.57142857,0.85714286,0.5,0.78571429,0.33333333,0.33333333,0.75,0.66666667,0.66666667,0.83333333,0.25,0.58333333,0.5,0.58333333,0.75,0.33333333,0.16666667,0.33333333,0.33333333,0.41666667,0.41666667,0.33333333,0.66666667,0.33333333,0.41666667,0.58333333,0.33333333,0.58333333,0.41666667,0.5,0.25,0.5,0.5,0.41666667,0.5,0.5,0.66666667,0.66666667,0.33333333,0.08333333,0.5,0.66666667,0.25,0.25,0.25,0.33333333,0.66666667,0.5,0.66666667,0.66666667,0.66666667,0.41666667,0.25,0.33333333]</t>
  </si>
  <si>
    <t>[0.,0.07142857,0.07692308,0.08333333,0.14285714,0.15384615,0.16666667,0.21428571,0.23076923,0.25,0.28571429,0.30769231,0.33333333,0.35714286,0.38461538,0.41666667,0.42857143,0.46153846,0.5,0.53846154,0.57142857,0.58333333,0.61538462,0.64285714,0.66666667,0.69230769,0.71428571,0.75,0.76923077,0.78571429,0.83333333,0.84615385,0.85714286,0.91666667,0.92307692,0.92857143,1.]</t>
  </si>
  <si>
    <t>[1.,0.30769231,0.53846154,1.,1.,0.46153846,1.,0.15384615,0.38461538,0.38461538,0.53846154,0.53846154,0.92307692,0.38461538,0.07692308,0.38461538,0.53846154,0.46153846,0.84615385,0.53846154,0.53846154,0.76923077,0.53846154,0.53846154,0.07692308,0.53846154,0.46153846,0.53846154,0.53846154,0.38461538,1.,1.,0.92307692,0.38461538,0.53846154,1.,0.46153846,0.38461538,1.,0.46153846,0.30769231,0.38461538,0.92307692,0.38461538,0.15384615,0.46153846,0.53846154,1.,0.53846154,0.38461538,0.85714286,0.28571429,0.14285714,0.42857143,0.,1.,0.57142857,0.85714286,0.28571429,0.85714286,0.57142857,0.28571429,0.85714286,0.42857143,1.,0.71428571,0.57142857,0.85714286,0.57142857,0.57142857,0.28571429,0.85714286,0.42857143,0.71428571,0.85714286,0.85714286,0.85714286,0.57142857,0.,0.42857143,0.71428571,0.85714286,0.57142857,0.85714286,0.71428571,0.85714286,0.57142857,0.14285714,0.57142857,0.,0.85714286,0.85714286,0.85714286,0.57142857,0.57142857,0.57142857,0.85714286,0.85714286,0.42857143,1.,0.57142857,0.28571429,0.85714286,1.,1.,0.85714286,0.28571429,0.85714286,0.85714286,1.,1.,0.85714286,1.,1.,0.85714286,0.85714286,0.57142857,0.14285714,0.,1.,0.57142857,0.28571429,1.,1.,1.,0.57142857,1.,1.,0.57142857,1.,1.,0.57142857,0.85714286,0.85714286,1.,1.,0.57142857,1.,0.85714286,0.85714286,0.85714286,1.,1.,0.71428571,0.85714286,1.,0.71428571,0.85714286,1.,1.,0.57142857,1.,0.85714286,0.85714286,0.85714286,0.92857143,0.85714286,0.85714286,0.35714286,0.35714286,1.,0.92857143,0.92857143,0.78571429,0.57142857,1.,0.92857143,0.85714286,0.92857143,0.78571429,0.85714286,0.35714286,0.42857143,0.78571429,0.57142857,0.85714286,1.,0.85714286,1.,1.,0.57142857,1.,0.42857143,0.57142857,0.78571429,0.5,0.85714286,0.92857143,0.92857143,0.5,0.35714286,0.92857143,0.92857143,0.78571429,1.,0.92857143,1.,0.85714286,0.78571429,0.42857143,1.,1.,0.91666667,0.91666667,1.,0.91666667,1.,0.75,0.91666667,0.83333333,0.91666667,1.,0.83333333,0.83333333,0.91666667,0.83333333,1.,0.91666667,1.,0.,0.91666667,1.,0.91666667,0.5,0.83333333,0.75,1.,1.,1.,0.66666667,0.83333333,0.83333333,0.41666667,0.83333333,0.66666667,0.,0.91666667,1.,1.,1.,0.83333333,0.91666667,1.,1.,1.,1.,1.,0.66666667,0.75,0.75]</t>
  </si>
  <si>
    <t>Fig4E_Sim_Unseen_Nominal_Progress</t>
  </si>
  <si>
    <t>[0.125,0.125,0.,0.75,0.75,0.5,0.625,0.625,0.,0.75,0.,0.625,1.,0.5,0.75,0.125,0.25,0.,0.125,0.5,0.125,0.,0.125,0.75,0.375,0.125,0.125,0.125,0.5,0.5,0.75,0.25,0.375,1.,0.375,0.25,0.75,0.,0.,0.25,0.5,0.125,0.375,0.375,0.125,0.125,0.625,0.625,0.125,0.,0.25,0.5,0.125,0.25,0.25,0.75,0.25,0.125,0.375,0.125,0.375,0.,0.25,0.,0.125,0.,0.625,0.125,0.25,0.375,0.625,0.125,0.,0.375,0.125,1.,0.125,0.,0.5,1.,0.125,0.125,0.,0.25,0.75,0.25,0.,0.625,0.375,1.,1.,0.,0.125,0.375,0.25,0.75,0.125,0.625,0.75,0.125,0.125,0.75,0.25,0.125,0.625,0.125,0.625,0.125,0.,0.25,0.,0.125,0.125,0.125,0.,0.125,0.,0.125,0.375,0.,0.125,0.25,0.125,0.75,0.25,0.5,0.25,0.625,0.25,0.25,0.75,0.,1.,0.5,0.25,0.25,0.625,0.125,0.375,0.25,0.25,0.625,0.375,0.125,0.125,0.375,0.25,0.125,0.375,0.125,0.25,0.25,0.375,0.625,0.125,0.,1.,0.25,0.25,1.,1.,0.625,0.,0.125,0.125,0.25,0.125,0.,0.,0.125,1.,0.25,0.,0.5,0.25,0.5,1.,0.25,0.125,0.125,0.25,0.125,0.75,1.,0.75,0.25,0.75,1.,0.125,0.375,0.375,0.25,0.625,0.5,0.125,0.375,0.75,0.25,0.125,0.625]</t>
  </si>
  <si>
    <t>[0.,0.125,0.25,0.375,0.5,0.625,0.75,0.875,1.]</t>
  </si>
  <si>
    <t>[0.25,0.,0.75,1.,0.75,0.75,0.625,0.75,1.,0.75,0.,0.5,0.75,0.75,0.625,0.75,0.625,0.25,0.375,0.75,0.25,0.625,0.,0.625,0.,0.25,0.5,0.25,0.375,0.5,0.75,0.5,0.75,0.75,0.75,1.,0.75,0.625,0.5,0.25,0.75,0.5,1.,0.,0.625,0.5,0.375,0.875,0.375,0.75,0.,0.,0.5,0.5,0.125,0.75,0.625,0.25,0.75,1.,0.75,0.625,0.375,0.125,0.25,0.25,0.75,0.625,0.75,0.625,0.625,1.,0.25,0.,0.375,1.,0.125,0.75,0.375,1.,0.,0.5,0.25,0.75,0.75,0.375,0.25,0.25,0.75,0.25,0.25,0.125,0.375,1.,0.375,1.,0.625,1.,0.25,0.25,0.25,1.,0.625,0.375,0.125,0.25,0.125,0.75,0.125,0.25,0.375,0.75,0.5,0.625,0.25,0.25,0.375,0.375,0.25,0.625,0.75,0.5,0.25,0.75,0.,0.5,1.,0.75,0.25,0.25,1.,1.,0.875,0.375,0.625,0.625,0.625,0.,0.625,0.375,0.375,1.,0.75,0.75,0.,0.75,0.25,0.5,0.25,0.625,0.125,0.5,1.,1.,0.5,0.5,0.25,0.875,0.5,0.25,0.25,0.75,0.375,1.,0.625,0.75,0.,0.25,0.5,0.25,0.875,0.,0.75,0.25,0.25,0.625,0.375,0.375,0.625,0.25,0.375,0.5,0.75,0.25,0.25,0.25,0.125,0.75,0.25,0.,0.25,0.625,0.75,0.,0.,0.,0.125,0.375,1.,0.75]</t>
  </si>
  <si>
    <t>[0.6,0.2,0.4,0.4,0.2,0.6,0.4,0.4,0.6,0.4,0.4,0.4,0.6,0.4,0.2,1.,0.2,0.4,0.4,0.,0.6,0.4,0.4,0.6,0.2,0.6,1.,0.2,0.2,0.2,1.,0.2,0.4,0.6,0.6,0.6,1.,0.4,0.2,1.,0.4,0.2,1.,0.4,0.2,0.4,0.6,0.4,0.4,0.4,0.4,0.4,0.4,0.4,0.4,0.2,0.,0.6,0.6,0.6,0.4,0.6,0.2,0.6,0.2,0.2,0.6,0.6,1.,0.,0.4,1.,0.2,0.6,0.4,1.,0.4,0.2,0.6,0.4,0.4,0.4,0.6,0.6,0.4,0.6,0.4,0.,0.4,0.4,0.4,1.,1.,0.2,0.4,0.6,1.,0.2,0.,0.4,0.2,0.6,0.6,0.2,1.,0.6,1.,0.6,0.4,0.6,0.2,1.,0.2,0.6,0.6,0.2,0.6,1.,0.,0.4,0.6,1.,0.6,0.6,0.6,1.,0.,1.,0.2,0.6,0.6,0.2,0.6,0.2,0.6,0.4,0.2,0.4,0.2,0.2,1.,0.6,0.,1.,0.6,0.6,0.,0.2,0.2,0.2,0.6,0.6,0.4,0.2,0.6,0.6,0.6,0.6,1.,0.4,0.,0.4,0.2,0.6,0.4,0.2,0.4,0.2,0.2,0.6,0.4,0.4,1.,0.4,0.6,0.6,0.6,0.2,0.4,0.6,0.6,0.4,0.6,0.2,0.4,0.2,0.2,0.6,0.4,0.2,0.2,0.6,0.2,0.6,1.,0.,0.2,0.6,1.]</t>
  </si>
  <si>
    <t>[0.,0.2,0.4,0.6,0.8,1.]</t>
  </si>
  <si>
    <t>[0.4,1.,0.6,0.4,1.,1.,0.2,0.4,0.4,0.4,0.6,0.4,0.6,0.6,0.4,0.6,0.6,0.6,1.,0.6,0.6,0.6,0.4,0.4,0.6,0.6,1.,0.4,0.6,0.4,0.4,1.,1.,0.4,1.,1.,0.4,0.2,0.2,1.,0.4,0.2,0.4,0.4,0.6,1.,0.6,0.,0.6,0.2,0.2,0.4,0.6,0.6,0.4,0.,1.,0.2,0.6,0.4,1.,0.6,0.6,0.6,0.2,0.2,0.4,0.4,1.,0.6,0.4,0.4,0.6,0.6,1.,1.,0.4,0.4,0.6,0.6,0.6,0.6,0.4,0.4,0.6,0.6,0.6,0.6,1.,1.,0.4,0.4,0.6,0.2,0.4,0.4,1.,0.6,0.4,0.2,1.,0.4,1.,0.4,0.6,1.,0.6,0.2,0.2,0.6,0.6,0.4,1.,0.4,0.4,0.6,0.6,1.,0.6,1.,0.4,0.6,1.,0.4,0.6,0.4,1.,1.,0.6,0.4,1.,0.,1.,0.6,0.2,0.6,0.6,0.2,0.6,0.6,0.2,0.6,1.,1.,0.6,0.4,1.,1.,1.,0.2,0.6,0.4,0.6,0.6,0.4,0.2,0.4,0.6,1.,0.4,0.4,0.4,0.4,0.4,0.6,0.6,0.2,1.,1.,1.,0.6,1.,0.4,0.4,0.6,0.4,0.4,0.6,0.6,0.4,0.4,0.6,0.6,0.4,0.6,0.6,0.6,0.2,0.4,0.4,0.4,0.6,0.6,0.6,1.,0.6,0.2,0.4,0.4,0.4]</t>
  </si>
  <si>
    <t>[0.25,0.,0.,0.25,0.5,0.,0.,0.5,0.,0.,0.25,0.,1.,1.,0.5,0.25,0.25,0.,0.5,0.,0.25,0.5,0.75,0.,1.,0.,0.,0.5,0.,0.,0.,0.25,0.5,0.,0.,0.,0.,0.5,0.,0.5,0.25,0.25,0.,0.,0.25,0.5,0.75,0.5,1.,0.5,0.25,0.25,0.25,0.5,0.25,0.,0.5,0.25,0.25,0.25,0.,0.25,0.5,0.,0.5,0.25,0.25,0.5,0.,0.25,0.,1.,0.,0.25,0.25,0.5,0.25,0.25,0.,0.,0.25,0.25,0.,0.25,0.5,0.25,0.5,0.25,0.5,1.,0.5,0.5,0.5,0.25,0.75,0.75,0.25,0.,0.25,0.25,0.25,0.25,1.,0.,0.,1.,0.75,0.,0.25,0.5,0.,0.25,0.25,1.,0.,0.,0.25,0.25,0.,0.,0.25,0.25,0.25,0.25,0.25,0.,0.25,0.25,0.,0.,0.5,0.25,0.,0.25,0.5,0.,0.5,0.,0.,1.,0.25,0.5,0.,0.5,0.5,0.25,0.,0.5,1.,0.25,0.,0.25,0.,0.25,1.,0.25,0.,0.,0.75,0.5,0.25,0.25,0.,0.25,0.25,0.,1.,0.,0.25,0.25,0.25,0.,0.,1.,0.75,1.,0.25,0.25,1.,0.25,0.,0.,0.25,0.5,0.,1.,0.25,0.5,0.5,1.,0.,0.5,0.25,0.,0.25,0.25,0.75,0.5,0.75,0.25]</t>
  </si>
  <si>
    <t>[0.,0.25,0.5,0.75,1.]</t>
  </si>
  <si>
    <t>[1.,0.5,0.5,0.75,1.,1.,0.5,0.5,0.5,0.5,0.75,1.,0.75,0.75,0.5,0.5,0.75,0.25,1.,1.,0.25,0.75,1.,0.75,1.,1.,0.25,0.75,0.5,0.25,1.,1.,0.5,1.,0.5,0.25,0.5,0.25,0.5,1.,0.75,0.25,0.75,0.75,1.,1.,1.,1.,1.,0.5,0.25,1.,0.75,1.,0.5,1.,0.75,0.5,1.,0.25,1.,1.,1.,0.25,0.5,0.25,1.,0.5,1.,0.,0.25,0.25,1.,0.75,1.,1.,0.5,1.,0.5,0.5,0.5,1.,0.25,0.75,0.75,0.25,0.5,0.5,0.5,1.,0.75,0.5,0.5,0.25,0.75,0.5,0.25,0.5,1.,1.,0.25,0.25,0.,0.25,0.5,1.,1.,0.5,0.25,1.,0.25,0.5,1.,1.,0.25,0.5,0.5,0.25,0.5,1.,0.75,0.75,1.,0.5,0.75,1.,0.25,0.5,0.5,0.25,0.5,1.,0.5,0.5,0.25,0.5,1.,0.25,0.75,0.5,0.75,0.5,1.,1.,0.75,0.5,1.,0.5,0.75,0.5,0.75,1.,1.,1.,1.,0.5,0.5,0.5,1.,1.,1.,0.25,1.,0.75,0.25,0.5,0.5,0.5,0.,0.75,1.,0.5,0.5,0.5,0.75,0.25,1.,1.,1.,0.5,1.,0.25,1.,0.25,1.,0.,0.5,1.,0.25,0.25,0.5,0.5,0.75,0.25,0.5,0.5,0.75,0.75,0.75,0.75]</t>
  </si>
  <si>
    <t>[0.6,0.2,0.,0.4,0.4,0.,0.4,0.6,0.,0.4,0.4,0.4,0.4,0.,0.6,0.4,0.6,0.,0.,0.2,0.2,0.,0.4,0.2,0.4,0.6,0.2,1.,0.2,0.4,0.6,0.6,0.6,0.6,0.2,0.4,0.6,0.6,0.6,1.,0.,0.2,0.2,0.2,0.2,0.6,0.2,0.4,0.4,0.6,0.,0.,0.2,0.6,0.6,0.6,0.4,0.2,0.4,0.6,0.2,0.6,0.4,0.,0.2,0.,0.4,0.,0.4,0.4,0.2,0.2,0.4,0.2,0.,0.2,0.,1.,0.4,0.4,0.2,0.2,0.,0.4,0.4,0.,0.6,0.2,0.4,0.4,0.2,0.2,0.4,0.2,0.6,0.6,0.2,0.6,0.2,0.4,0.2,0.4,0.4,0.6,0.,0.4,0.2,0.4,0.,1.,0.,0.2,0.4,0.4,0.,0.4,0.,0.,0.,0.4,0.2,0.2,0.,0.4,0.6,0.,0.2,0.6,0.4,0.2,0.2,0.,0.6,0.2,0.4,0.4,0.4,0.2,0.4,0.2,0.6,0.,0.4,0.,0.,0.2,0.6,0.,0.4,0.4,1.,0.2,0.2,0.,0.2,0.2,0.2,0.2,0.6,0.2,0.4,0.4,0.2,0.6,0.,0.2,0.6,0.,0.4,0.2,0.2,0.2,0.6,0.4,0.2,0.4,0.2,0.6,0.4,0.6,0.2,0.2,0.6,0.6,0.4,0.6,0.2,0.6,0.6,0.4,0.4,0.4,0.6,0.,0.,0.2,0.2,0.6,0.4,0.6]</t>
  </si>
  <si>
    <t>[0.6,0.6,0.4,0.6,0.4,0.4,1.,0.6,0.2,0.4,0.4,0.6,0.6,0.6,1.,0.6,0.6,0.4,0.2,0.6,0.2,0.4,0.4,1.,0.6,0.6,0.6,0.4,0.2,0.4,0.4,0.6,0.4,0.6,0.2,0.6,0.4,1.,0.4,0.6,0.2,0.4,1.,0.4,0.4,0.6,0.4,0.4,0.6,0.6,0.4,0.6,1.,1.,0.4,0.2,0.4,1.,0.4,0.4,0.6,0.2,0.4,0.6,0.6,0.6,0.6,0.4,1.,0.6,0.4,0.6,1.,0.4,0.6,0.6,1.,1.,0.2,0.6,0.4,0.4,0.,0.6,1.,0.4,1.,0.6,0.6,0.4,0.6,0.,0.4,0.4,0.6,0.6,0.4,1.,0.4,0.6,0.6,0.6,1.,0.6,0.4,0.6,1.,0.6,0.6,0.6,0.4,0.6,0.4,0.6,0.4,0.6,0.4,0.6,0.2,0.4,0.2,0.4,0.2,0.4,0.6,0.2,0.2,0.6,0.6,0.6,0.4,0.6,1.,0.2,0.4,0.6,0.4,0.4,0.6,0.6,0.6,0.4,0.4,1.,0.6,0.4,0.4,0.4,0.4,0.4,0.4,0.6,1.,0.6,0.4,1.,0.6,0.4,0.6,0.4,0.6,0.4,0.4,0.4,0.2,0.4,0.4,0.4,0.4,1.,1.,0.4,0.4,0.6,0.4,0.4,0.6,0.6,0.4,0.4,0.6,0.4,1.,0.,1.,0.6,0.6,1.,0.6,0.2,1.,0.4,1.,0.,0.6,0.6,0.4,0.4,0.4,0.4]</t>
  </si>
  <si>
    <t>[1.,1.,1.,0.33333333,0.16666667,1.,0.33333333,1.,0.16666667,0.,0.16666667,0.16666667,1.,0.66666667,0.16666667,1.,0.,1.,1.,0.16666667,0.33333333,0.83333333,0.33333333,0.5,0.33333333,0.16666667,0.33333333,1.,1.,1.,0.16666667,1.,1.,0.16666667,1.,0.33333333,0.33333333,0.33333333,0.16666667,1.,1.,0.33333333,1.,0.,0.33333333,1.,1.,1.,0.16666667,0.16666667,0.66666667,1.,0.,0.83333333,0.16666667,0.33333333,1.,0.33333333,1.,0.66666667,1.,1.,1.,0.33333333,0.33333333,0.66666667,0.,0.,1.,0.16666667,0.,0.16666667,0.16666667,1.,1.,0.83333333,0.5,0.66666667,0.33333333,0.5,1.,1.,0.,1.,1.,0.33333333,0.83333333,1.,0.66666667,1.,0.16666667,0.33333333,0.66666667,0.66666667,0.16666667,1.,0.5,1.,1.,0.83333333,0.5,0.66666667,0.66666667,1.,1.,0.33333333,1.,1.,1.,0.33333333,0.83333333,0.83333333,1.,1.,1.,1.,0.83333333,1.,1.,0.16666667,0.33333333,1.,1.,0.83333333,0.16666667,1.,0.16666667,0.33333333,0.33333333,1.,0.,1.,0.16666667,0.66666667,0.33333333,1.,1.,1.,1.,0.16666667,0.33333333,0.16666667,0.33333333,1.,0.33333333,0.33333333,0.16666667,0.16666667,1.,0.16666667,1.,1.,1.,0.16666667,0.83333333,0.5,1.,0.33333333,0.33333333,0.66666667,1.,0.66666667,0.16666667,0.33333333,0.33333333,0.16666667,0.5,0.66666667,0.33333333,0.16666667,0.66666667,0.33333333,0.83333333,0.33333333,1.,1.,1.,0.33333333,1.,0.,0.66666667,0.33333333,0.66666667,0.66666667,1.,1.,0.83333333,1.,1.,1.,1.,0.16666667,1.,0.33333333,0.33333333,1.,0.16666667,0.5,1.,0.]</t>
  </si>
  <si>
    <t>[0.,0.16666667,0.33333333,0.5,0.66666667,0.83333333,1.]</t>
  </si>
  <si>
    <t>[0.33333333,0.33333333,1.,0.83333333,0.33333333,1.,0.16666667,1.,1.,0.,0.16666667,0.33333333,1.,1.,0.16666667,0.,0.66666667,1.,1.,0.33333333,1.,1.,1.,0.33333333,1.,0.83333333,0.33333333,1.,1.,0.33333333,0.33333333,0.33333333,1.,1.,1.,1.,1.,0.16666667,1.,1.,0.16666667,1.,0.,0.,0.,1.,1.,1.,0.16666667,0.16666667,1.,1.,1.,1.,0.33333333,0.33333333,0.83333333,0.33333333,0.83333333,0.33333333,0.66666667,0.83333333,1.,0.83333333,1.,1.,0.,0.,0.33333333,1.,0.,0.33333333,0.33333333,1.,1.,0.16666667,0.,1.,0.83333333,0.5,1.,0.66666667,1.,1.,0.,1.,1.,1.,1.,1.,0.83333333,0.66666667,0.33333333,0.33333333,0.33333333,1.,0.33333333,1.,1.,0.66666667,1.,1.,0.66666667,1.,0.33333333,1.,0.16666667,0.66666667,1.,0.33333333,1.,0.,0.33333333,1.,1.,1.,0.83333333,0.5,1.,1.,1.,1.,0.66666667,0.83333333,0.83333333,0.33333333,0.,0.33333333,1.,1.,0.5,0.5,0.,0.,0.33333333,1.,1.,1.,0.,1.,0.,0.16666667,1.,1.,1.,0.16666667,0.5,0.,1.,0.,1.,0.5,0.66666667,1.,0.66666667,0.,1.,0.5,1.,1.,1.,1.,0.5,1.,1.,0.33333333,1.,1.,0.33333333,0.16666667,0.83333333,0.66666667,0.33333333,1.,1.,0.5,0.,0.5,1.,0.33333333,0.66666667,0.16666667,0.5,0.5,1.,1.,0.,1.,0.66666667,1.,1.,0.33333333,1.,1.,0.16666667,0.16666667,0.33333333,1.,1.,0.66666667]</t>
  </si>
  <si>
    <t>[0.125,0.125,0.,0.75,0.75,0.5,0.625,0.625,0.,0.75,0.,0.625,1.,0.5,0.75,0.125,0.25,0.,0.125,0.5,0.125,0.,0.125,0.75,0.375,0.125,0.125,0.125,0.5,0.5,0.75,0.25,0.375,1.,0.375,0.25,0.75,0.,0.,0.25,0.5,0.125,0.375,0.375,0.125,0.125,0.625,0.625,0.125,0.,0.25,0.5,0.125,0.25,0.25,0.75,0.25,0.125,0.375,0.125,0.375,0.,0.25,0.,0.125,0.,0.625,0.125,0.25,0.375,0.625,0.125,0.,0.375,0.125,1.,0.125,0.,0.5,1.,0.125,0.125,0.,0.25,0.75,0.25,0.,0.625,0.375,1.,1.,0.,0.125,0.375,0.25,0.75,0.125,0.625,0.75,0.125,0.125,0.75,0.25,0.125,0.625,0.125,0.625,0.125,0.,0.25,0.,0.125,0.125,0.125,0.,0.125,0.,0.125,0.375,0.,0.125,0.25,0.125,0.75,0.25,0.5,0.25,0.625,0.25,0.25,0.75,0.,1.,0.5,0.25,0.25,0.625,0.125,0.375,0.25,0.25,0.625,0.375,0.125,0.125,0.375,0.25,0.125,0.375,0.125,0.25,0.25,0.375,0.625,0.125,0.,1.,0.25,0.25,1.,1.,0.625,0.,0.125,0.125,0.25,0.125,0.,0.,0.125,1.,0.25,0.,0.5,0.25,0.5,1.,0.25,0.125,0.125,0.25,0.125,0.75,1.,0.75,0.25,0.75,1.,0.125,0.375,0.375,0.25,0.625,0.5,0.125,0.375,0.75,0.25,0.125,0.625,0.6,0.2,0.4,0.4,0.2,0.6,0.4,0.4,0.6,0.4,0.4,0.4,0.6,0.4,0.2,1.,0.2,0.4,0.4,0.,0.6,0.4,0.4,0.6,0.2,0.6,1.,0.2,0.2,0.2,1.,0.2,0.4,0.6,0.6,0.6,1.,0.4,0.2,1.,0.4,0.2,1.,0.4,0.2,0.4,0.6,0.4,0.4,0.4,0.4,0.4,0.4,0.4,0.4,0.2,0.,0.6,0.6,0.6,0.4,0.6,0.2,0.6,0.2,0.2,0.6,0.6,1.,0.,0.4,1.,0.2,0.6,0.4,1.,0.4,0.2,0.6,0.4,0.4,0.4,0.6,0.6,0.4,0.6,0.4,0.,0.4,0.4,0.4,1.,1.,0.2,0.4,0.6,1.,0.2,0.,0.4,0.2,0.6,0.6,0.2,1.,0.6,1.,0.6,0.4,0.6,0.2,1.,0.2,0.6,0.6,0.2,0.6,1.,0.,0.4,0.6,1.,0.6,0.6,0.6,1.,0.,1.,0.2,0.6,0.6,0.2,0.6,0.2,0.6,0.4,0.2,0.4,0.2,0.2,1.,0.6,0.,1.,0.6,0.6,0.,0.2,0.2,0.2,0.6,0.6,0.4,0.2,0.6,0.6,0.6,0.6,1.,0.4,0.,0.4,0.2,0.6,0.4,0.2,0.4,0.2,0.2,0.6,0.4,0.4,1.,0.4,0.6,0.6,0.6,0.2,0.4,0.6,0.6,0.4,0.6,0.2,0.4,0.2,0.2,0.6,0.4,0.2,0.2,0.6,0.2,0.6,1.,0.,0.2,0.6,1.,0.25,0.,0.,0.25,0.5,0.,0.,0.5,0.,0.,0.25,0.,1.,1.,0.5,0.25,0.25,0.,0.5,0.,0.25,0.5,0.75,0.,1.,0.,0.,0.5,0.,0.,0.,0.25,0.5,0.,0.,0.,0.,0.5,0.,0.5,0.25,0.25,0.,0.,0.25,0.5,0.75,0.5,1.,0.5,0.25,0.25,0.25,0.5,0.25,0.,0.5,0.25,0.25,0.25,0.,0.25,0.5,0.,0.5,0.25,0.25,0.5,0.,0.25,0.,1.,0.,0.25,0.25,0.5,0.25,0.25,0.,0.,0.25,0.25,0.,0.25,0.5,0.25,0.5,0.25,0.5,1.,0.5,0.5,0.5,0.25,0.75,0.75,0.25,0.,0.25,0.25,0.25,0.25,1.,0.,0.,1.,0.75,0.,0.25,0.5,0.,0.25,0.25,1.,0.,0.,0.25,0.25,0.,0.,0.25,0.25,0.25,0.25,0.25,0.,0.25,0.25,0.,0.,0.5,0.25,0.,0.25,0.5,0.,0.5,0.,0.,1.,0.25,0.5,0.,0.5,0.5,0.25,0.,0.5,1.,0.25,0.,0.25,0.,0.25,1.,0.25,0.,0.,0.75,0.5,0.25,0.25,0.,0.25,0.25,0.,1.,0.,0.25,0.25,0.25,0.,0.,1.,0.75,1.,0.25,0.25,1.,0.25,0.,0.,0.25,0.5,0.,1.,0.25,0.5,0.5,1.,0.,0.5,0.25,0.,0.25,0.25,0.75,0.5,0.75,0.25,0.6,0.2,0.,0.4,0.4,0.,0.4,0.6,0.,0.4,0.4,0.4,0.4,0.,0.6,0.4,0.6,0.,0.,0.2,0.2,0.,0.4,0.2,0.4,0.6,0.2,1.,0.2,0.4,0.6,0.6,0.6,0.6,0.2,0.4,0.6,0.6,0.6,1.,0.,0.2,0.2,0.2,0.2,0.6,0.2,0.4,0.4,0.6,0.,0.,0.2,0.6,0.6,0.6,0.4,0.2,0.4,0.6,0.2,0.6,0.4,0.,0.2,0.,0.4,0.,0.4,0.4,0.2,0.2,0.4,0.2,0.,0.2,0.,1.,0.4,0.4,0.2,0.2,0.,0.4,0.4,0.,0.6,0.2,0.4,0.4,0.2,0.2,0.4,0.2,0.6,0.6,0.2,0.6,0.2,0.4,0.2,0.4,0.4,0.6,0.,0.4,0.2,0.4,0.,1.,0.,0.2,0.4,0.4,0.,0.4,0.,0.,0.,0.4,0.2,0.2,0.,0.4,0.6,0.,0.2,0.6,0.4,0.2,0.2,0.,0.6,0.2,0.4,0.4,0.4,0.2,0.4,0.2,0.6,0.,0.4,0.,0.,0.2,0.6,0.,0.4,0.4,1.,0.2,0.2,0.,0.2,0.2,0.2,0.2,0.6,0.2,0.4,0.4,0.2,0.6,0.,0.2,0.6,0.,0.4,0.2,0.2,0.2,0.6,0.4,0.2,0.4,0.2,0.6,0.4,0.6,0.2,0.2,0.6,0.6,0.4,0.6,0.2,0.6,0.6,0.4,0.4,0.4,0.6,0.,0.,0.2,0.2,0.6,0.4,0.6,1.,1.,1.,0.33333333,0.16666667,1.,0.33333333,1.,0.16666667,0.,0.16666667,0.16666667,1.,0.66666667,0.16666667,1.,0.,1.,1.,0.16666667,0.33333333,0.83333333,0.33333333,0.5,0.33333333,0.16666667,0.33333333,1.,1.,1.,0.16666667,1.,1.,0.16666667,1.,0.33333333,0.33333333,0.33333333,0.16666667,1.,1.,0.33333333,1.,0.,0.33333333,1.,1.,1.,0.16666667,0.16666667,0.66666667,1.,0.,0.83333333,0.16666667,0.33333333,1.,0.33333333,1.,0.66666667,1.,1.,1.,0.33333333,0.33333333,0.66666667,0.,0.,1.,0.16666667,0.,0.16666667,0.16666667,1.,1.,0.83333333,0.5,0.66666667,0.33333333,0.5,1.,1.,0.,1.,1.,0.33333333,0.83333333,1.,0.66666667,1.,0.16666667,0.33333333,0.66666667,0.66666667,0.16666667,1.,0.5,1.,1.,0.83333333,0.5,0.66666667,0.66666667,1.,1.,0.33333333,1.,1.,1.,0.33333333,0.83333333,0.83333333,1.,1.,1.,1.,0.83333333,1.,1.,0.16666667,0.33333333,1.,1.,0.83333333,0.16666667,1.,0.16666667,0.33333333,0.33333333,1.,0.,1.,0.16666667,0.66666667,0.33333333,1.,1.,1.,1.,0.16666667,0.33333333,0.16666667,0.33333333,1.,0.33333333,0.33333333,0.16666667,0.16666667,1.,0.16666667,1.,1.,1.,0.16666667,0.83333333,0.5,1.,0.33333333,0.33333333,0.66666667,1.,0.66666667,0.16666667,0.33333333,0.33333333,0.16666667,0.5,0.66666667,0.33333333,0.16666667,0.66666667,0.33333333,0.83333333,0.33333333,1.,1.,1.,0.33333333,1.,0.,0.66666667,0.33333333,0.66666667,0.66666667,1.,1.,0.83333333,1.,1.,1.,1.,0.16666667,1.,0.33333333,0.33333333,1.,0.16666667,0.5,1.,0.]</t>
  </si>
  <si>
    <t>[0.,0.125,0.16666667,0.2,0.25,0.33333333,0.375,0.4,0.5,0.6,0.625,0.66666667,0.75,0.8,0.83333333,0.875,1.]</t>
  </si>
  <si>
    <t>[0.25,0.,0.75,1.,0.75,0.75,0.625,0.75,1.,0.75,0.,0.5,0.75,0.75,0.625,0.75,0.625,0.25,0.375,0.75,0.25,0.625,0.,0.625,0.,0.25,0.5,0.25,0.375,0.5,0.75,0.5,0.75,0.75,0.75,1.,0.75,0.625,0.5,0.25,0.75,0.5,1.,0.,0.625,0.5,0.375,0.875,0.375,0.75,0.,0.,0.5,0.5,0.125,0.75,0.625,0.25,0.75,1.,0.75,0.625,0.375,0.125,0.25,0.25,0.75,0.625,0.75,0.625,0.625,1.,0.25,0.,0.375,1.,0.125,0.75,0.375,1.,0.,0.5,0.25,0.75,0.75,0.375,0.25,0.25,0.75,0.25,0.25,0.125,0.375,1.,0.375,1.,0.625,1.,0.25,0.25,0.25,1.,0.625,0.375,0.125,0.25,0.125,0.75,0.125,0.25,0.375,0.75,0.5,0.625,0.25,0.25,0.375,0.375,0.25,0.625,0.75,0.5,0.25,0.75,0.,0.5,1.,0.75,0.25,0.25,1.,1.,0.875,0.375,0.625,0.625,0.625,0.,0.625,0.375,0.375,1.,0.75,0.75,0.,0.75,0.25,0.5,0.25,0.625,0.125,0.5,1.,1.,0.5,0.5,0.25,0.875,0.5,0.25,0.25,0.75,0.375,1.,0.625,0.75,0.,0.25,0.5,0.25,0.875,0.,0.75,0.25,0.25,0.625,0.375,0.375,0.625,0.25,0.375,0.5,0.75,0.25,0.25,0.25,0.125,0.75,0.25,0.,0.25,0.625,0.75,0.,0.,0.,0.125,0.375,1.,0.75,0.4,1.,0.6,0.4,1.,1.,0.2,0.4,0.4,0.4,0.6,0.4,0.6,0.6,0.4,0.6,0.6,0.6,1.,0.6,0.6,0.6,0.4,0.4,0.6,0.6,1.,0.4,0.6,0.4,0.4,1.,1.,0.4,1.,1.,0.4,0.2,0.2,1.,0.4,0.2,0.4,0.4,0.6,1.,0.6,0.,0.6,0.2,0.2,0.4,0.6,0.6,0.4,0.,1.,0.2,0.6,0.4,1.,0.6,0.6,0.6,0.2,0.2,0.4,0.4,1.,0.6,0.4,0.4,0.6,0.6,1.,1.,0.4,0.4,0.6,0.6,0.6,0.6,0.4,0.4,0.6,0.6,0.6,0.6,1.,1.,0.4,0.4,0.6,0.2,0.4,0.4,1.,0.6,0.4,0.2,1.,0.4,1.,0.4,0.6,1.,0.6,0.2,0.2,0.6,0.6,0.4,1.,0.4,0.4,0.6,0.6,1.,0.6,1.,0.4,0.6,1.,0.4,0.6,0.4,1.,1.,0.6,0.4,1.,0.,1.,0.6,0.2,0.6,0.6,0.2,0.6,0.6,0.2,0.6,1.,1.,0.6,0.4,1.,1.,1.,0.2,0.6,0.4,0.6,0.6,0.4,0.2,0.4,0.6,1.,0.4,0.4,0.4,0.4,0.4,0.6,0.6,0.2,1.,1.,1.,0.6,1.,0.4,0.4,0.6,0.4,0.4,0.6,0.6,0.4,0.4,0.6,0.6,0.4,0.6,0.6,0.6,0.2,0.4,0.4,0.4,0.6,0.6,0.6,1.,0.6,0.2,0.4,0.4,0.4,1.,0.5,0.5,0.75,1.,1.,0.5,0.5,0.5,0.5,0.75,1.,0.75,0.75,0.5,0.5,0.75,0.25,1.,1.,0.25,0.75,1.,0.75,1.,1.,0.25,0.75,0.5,0.25,1.,1.,0.5,1.,0.5,0.25,0.5,0.25,0.5,1.,0.75,0.25,0.75,0.75,1.,1.,1.,1.,1.,0.5,0.25,1.,0.75,1.,0.5,1.,0.75,0.5,1.,0.25,1.,1.,1.,0.25,0.5,0.25,1.,0.5,1.,0.,0.25,0.25,1.,0.75,1.,1.,0.5,1.,0.5,0.5,0.5,1.,0.25,0.75,0.75,0.25,0.5,0.5,0.5,1.,0.75,0.5,0.5,0.25,0.75,0.5,0.25,0.5,1.,1.,0.25,0.25,0.,0.25,0.5,1.,1.,0.5,0.25,1.,0.25,0.5,1.,1.,0.25,0.5,0.5,0.25,0.5,1.,0.75,0.75,1.,0.5,0.75,1.,0.25,0.5,0.5,0.25,0.5,1.,0.5,0.5,0.25,0.5,1.,0.25,0.75,0.5,0.75,0.5,1.,1.,0.75,0.5,1.,0.5,0.75,0.5,0.75,1.,1.,1.,1.,0.5,0.5,0.5,1.,1.,1.,0.25,1.,0.75,0.25,0.5,0.5,0.5,0.,0.75,1.,0.5,0.5,0.5,0.75,0.25,1.,1.,1.,0.5,1.,0.25,1.,0.25,1.,0.,0.5,1.,0.25,0.25,0.5,0.5,0.75,0.25,0.5,0.5,0.75,0.75,0.75,0.75,0.6,0.6,0.4,0.6,0.4,0.4,1.,0.6,0.2,0.4,0.4,0.6,0.6,0.6,1.,0.6,0.6,0.4,0.2,0.6,0.2,0.4,0.4,1.,0.6,0.6,0.6,0.4,0.2,0.4,0.4,0.6,0.4,0.6,0.2,0.6,0.4,1.,0.4,0.6,0.2,0.4,1.,0.4,0.4,0.6,0.4,0.4,0.6,0.6,0.4,0.6,1.,1.,0.4,0.2,0.4,1.,0.4,0.4,0.6,0.2,0.4,0.6,0.6,0.6,0.6,0.4,1.,0.6,0.4,0.6,1.,0.4,0.6,0.6,1.,1.,0.2,0.6,0.4,0.4,0.,0.6,1.,0.4,1.,0.6,0.6,0.4,0.6,0.,0.4,0.4,0.6,0.6,0.4,1.,0.4,0.6,0.6,0.6,1.,0.6,0.4,0.6,1.,0.6,0.6,0.6,0.4,0.6,0.4,0.6,0.4,0.6,0.4,0.6,0.2,0.4,0.2,0.4,0.2,0.4,0.6,0.2,0.2,0.6,0.6,0.6,0.4,0.6,1.,0.2,0.4,0.6,0.4,0.4,0.6,0.6,0.6,0.4,0.4,1.,0.6,0.4,0.4,0.4,0.4,0.4,0.4,0.6,1.,0.6,0.4,1.,0.6,0.4,0.6,0.4,0.6,0.4,0.4,0.4,0.2,0.4,0.4,0.4,0.4,1.,1.,0.4,0.4,0.6,0.4,0.4,0.6,0.6,0.4,0.4,0.6,0.4,1.,0.,1.,0.6,0.6,1.,0.6,0.2,1.,0.4,1.,0.,0.6,0.6,0.4,0.4,0.4,0.4,0.33333333,0.33333333,1.,0.83333333,0.33333333,1.,0.16666667,1.,1.,0.,0.16666667,0.33333333,1.,1.,0.16666667,0.,0.66666667,1.,1.,0.33333333,1.,1.,1.,0.33333333,1.,0.83333333,0.33333333,1.,1.,0.33333333,0.33333333,0.33333333,1.,1.,1.,1.,1.,0.16666667,1.,1.,0.16666667,1.,0.,0.,0.,1.,1.,1.,0.16666667,0.16666667,1.,1.,1.,1.,0.33333333,0.33333333,0.83333333,0.33333333,0.83333333,0.33333333,0.66666667,0.83333333,1.,0.83333333,1.,1.,0.,0.,0.33333333,1.,0.,0.33333333,0.33333333,1.,1.,0.16666667,0.,1.,0.83333333,0.5,1.,0.66666667,1.,1.,0.,1.,1.,1.,1.,1.,0.83333333,0.66666667,0.33333333,0.33333333,0.33333333,1.,0.33333333,1.,1.,0.66666667,1.,1.,0.66666667,1.,0.33333333,1.,0.16666667,0.66666667,1.,0.33333333,1.,0.,0.33333333,1.,1.,1.,0.83333333,0.5,1.,1.,1.,1.,0.66666667,0.83333333,0.83333333,0.33333333,0.,0.33333333,1.,1.,0.5,0.5,0.,0.,0.33333333,1.,1.,1.,0.,1.,0.,0.16666667,1.,1.,1.,0.16666667,0.5,0.,1.,0.,1.,0.5,0.66666667,1.,0.66666667,0.,1.,0.5,1.,1.,1.,1.,0.5,1.,1.,0.33333333,1.,1.,0.33333333,0.16666667,0.83333333,0.66666667,0.33333333,1.,1.,0.5,0.,0.5,1.,0.33333333,0.66666667,0.16666667,0.5,0.5,1.,1.,0.,1.,0.66666667,1.,1.,0.33333333,1.,1.,0.16666667,0.16666667,0.33333333,1.,1.,0.66666667]</t>
  </si>
  <si>
    <t>Fig4F_Sim_Unseen_Nominal_Progress_Scaling</t>
  </si>
  <si>
    <t>[0.,0.,0.,0.125,0.,0.,0.,0.,0.,0.,0.25,0.,0.25,0.125,0.,0.25,0.,0.125,0.,0.5,0.,0.,0.,0.,0.,0.,0.125,0.125,0.125,0.,0.,0.25,0.,0.,0.,0.,0.125,0.125,0.125,0.375,0.25,0.,0.,0.,0.,0.,0.,0.125,0.,0.125,0.,0.,0.,0.125,0.125,0.375,0.125,0.125,0.25,0.,0.125,0.,0.125,0.,0.,0.,0.125,0.125,0.,0.5,0.,0.,0.,0.,0.25,0.,0.,0.,0.125,0.,0.,0.125,0.,0.,0.125,0.,0.25,0.125,0.,0.,0.,0.,0.125,0.25,0.,0.25,0.125,0.25,0.,0.125,0.,0.,0.125,0.,0.125,0.,0.,0.,0.,0.,0.,0.,0.,0.,0.,0.125,0.,0.,0.,0.,0.,0.,0.,0.,0.,0.125,0.,0.,0.,0.,0.125,0.125,0.125,0.,0.125,0.,0.,0.,0.125,0.125,0.,0.,0.125,0.,0.,0.125,0.125,0.,0.25,0.125,0.,0.,0.,0.25,0.,0.,0.,0.,0.,0.,0.125,0.125,0.,0.125,0.125,0.,0.125,0.,0.,0.,0.,0.,0.,0.25,0.,0.,0.,0.25,0.125,0.,0.25,0.,0.,0.125,0.375,0.125,0.,0.25,0.,0.,0.,0.,0.125,0.,0.,0.,0.,0.,0.,0.125,0.,0.,0.,0.,0.,0.,0.,0.,0.,0.,0.,0.,0.,0.,0.,0.,0.2,0.,0.,0.,0.2,0.,0.2,0.,0.,0.,0.,0.,0.,0.,0.,0.,0.,0.2,0.2,0.,0.,0.2,0.,0.,0.2,0.,0.,0.,0.,0.,0.,0.2,0.,0.2,0.,0.,0.,0.2,0.,0.,0.2,0.2,0.,0.,0.2,0.2,0.,0.,0.,0.,0.,0.,0.,0.,0.,0.,0.,0.,0.,0.,0.,0.2,0.4,0.,0.2,0.,0.,0.,0.,0.,0.2,0.,0.,0.,0.,0.,0.2,0.,0.,0.2,0.,0.,0.,0.,0.2,0.,0.2,0.,0.,0.,0.,0.,0.,0.2,0.,0.,0.2,0.,0.,0.,0.,0.,0.2,0.2,0.,0.,0.,0.,0.,0.,0.,0.,0.,0.,0.2,0.,0.2,0.2,0.,0.,0.2,0.,0.,0.,0.2,0.,0.,0.2,0.,0.2,0.,0.,0.,0.,0.,0.,0.2,0.,0.,0.,0.,0.,0.,0.,0.,0.,0.,0.2,0.,0.,0.2,0.2,0.,0.,0.,0.,0.,0.,0.,0.,0.,0.,0.,0.,0.,0.,0.,0.,0.,0.,0.2,0.,0.,0.,0.,0.,0.2,0.,0.,0.,0.2,0.,0.2,0.,0.,0.,0.,0.25,0.,0.,0.,0.,0.,0.,0.,0.,0.,0.,0.,0.,0.,0.,0.25,0.,0.,0.,0.,0.,0.,0.,0.,0.,0.,0.,0.,0.5,0.,0.,0.,0.,0.,0.,0.,0.5,0.,0.,0.,0.,0.,0.,0.,0.,0.,0.,0.,0.,0.,0.5,0.,0.,0.,0.,0.5,0.,0.,0.,0.,0.,0.,0.,0.,0.25,0.,0.,0.,0.,0.25,0.,0.,0.25,0.,0.,0.,0.,0.,0.,0.,0.,0.25,0.,0.,0.,0.,0.,0.,0.,0.,0.,0.5,0.,0.25,0.5,0.,0.,0.,0.,0.,0.,0.,0.25,0.,0.25,0.,0.,0.,0.,0.,0.25,0.,0.,0.,0.,0.,0.,0.,0.,0.,0.,0.,0.,0.,0.25,0.,0.,0.,0.25,0.25,0.,0.,0.,0.5,0.,0.,0.,0.,0.,0.,0.5,0.,0.25,0.,0.,0.,0.,0.,0.,0.,0.,0.,0.25,0.,0.25,0.,0.,0.,0.,0.,0.,0.,0.,0.25,0.,0.,0.,0.,0.,0.,0.25,0.,0.,0.,0.25,0.,0.,0.,0.,0.25,0.,0.,0.,0.,0.,0.25,0.,0.5,0.,0.,0.,0.,0.,0.5,0.25,0.,0.25,0.,0.,0.,0.4,0.,0.,0.,0.,0.,0.,0.,0.,0.,0.2,0.,0.,0.,0.,0.4,0.4,0.,0.,0.,0.4,0.,0.2,0.,0.,0.,0.,0.,0.,0.,0.,0.,0.,0.,0.,0.,0.6,0.,0.,0.,0.,0.,0.,0.,0.,0.,0.,0.,0.,0.,0.2,0.4,0.,0.,0.,0.6,0.2,0.,0.,0.,0.,0.,0.,0.,0.2,0.,0.,0.,0.,0.4,0.,0.4,0.,0.,0.2,0.,0.,0.,0.,0.,0.,0.,0.,0.4,0.,0.2,0.,0.,0.,0.,0.4,0.,0.,0.,0.6,0.,0.,0.,0.,0.,0.,0.,0.,0.4,0.,0.,0.,0.,0.,0.2,0.2,0.,0.2,0.,0.,0.2,0.,0.,0.,0.2,0.,0.,0.,0.,0.2,0.,0.,0.,0.,0.,0.,0.,0.,0.,0.,0.,0.2,0.2,0.,0.2,0.4,0.,0.2,0.,0.,0.2,0.2,0.,0.,0.,0.4,0.,0.,0.,0.,0.,0.2,0.2,0.,0.,0.2,0.,0.,0.2,0.,0.,0.,0.,0.,0.,0.4,0.2,0.2,0.,0.6,0.,0.6,0.2,0.,0.,0.,0.4,0.2,0.,0.4,0.,0.,0.2,0.,0.,0.,0.4,0.,0.,0.2,0.,0.2,0.,0.,0.16666667,0.,0.,0.,0.,0.16666667,0.16666667,0.,0.66666667,0.,0.,0.,0.,0.,0.16666667,0.,0.,0.,0.,0.,0.16666667,0.,0.,0.,0.,0.16666667,0.,0.5,0.16666667,0.16666667,0.16666667,0.,0.,0.16666667,0.,0.,0.,0.16666667,0.,0.,0.,0.,0.,0.16666667,0.,0.16666667,0.16666667,0.,0.16666667,0.16666667,0.,0.16666667,0.16666667,0.16666667,0.,0.,0.,0.,0.16666667,0.16666667,0.16666667,0.,0.,0.16666667,0.,0.,0.16666667,0.,0.,0.16666667,0.,0.,0.16666667,0.16666667,0.16666667,0.16666667,0.,0.,0.16666667,0.,0.,0.,0.,0.,0.,0.,0.,0.,0.,0.16666667,0.,0.16666667,0.,0.,0.16666667,0.16666667,0.,0.,0.,0.,0.,0.16666667,0.,0.16666667,0.,0.,0.,0.16666667,0.16666667,0.,0.,0.16666667,0.5,0.,0.,0.16666667,0.16666667,0.,0.,0.,0.,0.,0.16666667,0.,0.,0.,0.,0.16666667,0.,0.,0.,0.,0.,0.16666667,0.16666667,0.16666667,0.,0.16666667,0.,0.,0.,0.16666667,0.16666667,0.,0.,0.16666667,0.33333333,0.,0.,0.16666667,0.,0.,0.,0.,0.16666667,0.,0.,0.,0.,0.,0.,0.16666667,0.,0.,0.,0.,0.,0.,0.5,0.16666667,0.16666667,0.,0.16666667,0.16666667,0.,0.16666667,0.,0.,0.33333333,0.,0.,0.,0.16666667,0.16666667,0.,0.16666667,0.16666667,0.,0.,0.16666667,0.16666667,0.,0.,0.,0.33333333,0.16666667,0.16666667,0.]</t>
  </si>
  <si>
    <t>[0.25,0.,0.,0.125,0.25,0.,0.25,0.,0.,0.,0.125,0.,0.125,0.,0.,0.25,0.25,0.,0.,0.125,0.125,0.,0.,0.,0.,0.,0.,0.,0.,0.,0.5,0.125,0.125,0.125,0.,0.125,0.25,0.,0.,0.,0.,0.,0.,0.,0.125,0.,0.,0.125,0.,0.,0.,0.125,0.25,0.,0.25,0.,0.5,0.,0.,0.,0.125,0.,0.,0.,0.125,0.,0.125,0.,0.,0.,0.125,0.,0.125,0.,0.25,0.25,0.,0.,0.,0.25,0.,0.,0.,0.,0.625,0.,0.25,0.125,0.125,0.,0.,0.,0.,0.,0.,0.25,0.,0.125,0.,0.125,0.,0.25,0.125,0.,0.125,0.,0.625,0.125,0.,0.,0.,0.5,0.125,0.125,0.,0.125,0.,0.,0.,0.125,0.125,0.,0.,0.125,0.25,0.,0.,0.,0.,0.,0.125,0.25,0.,0.,0.,0.75,0.25,0.125,0.,0.25,0.125,0.375,0.,0.,0.,0.375,0.125,0.,0.125,0.125,0.,0.,0.125,0.125,0.,0.,0.,0.,0.125,0.125,0.625,0.,0.,0.,0.,0.25,0.125,0.,0.,0.,0.,0.,0.,0.,0.125,0.25,0.125,0.25,0.,0.,0.25,0.,0.,0.,0.,0.375,0.125,0.,0.125,0.,0.625,0.25,0.25,0.,0.125,0.,0.,0.125,0.125,0.625,0.,0.,0.,0.,0.,0.,0.2,0.2,0.4,0.2,0.2,0.2,0.2,0.2,0.,0.,0.2,0.2,0.2,0.4,0.2,0.2,0.,0.,0.,0.,0.2,0.2,0.2,0.2,0.2,0.,0.2,0.2,0.,0.4,0.6,0.,0.2,0.2,0.,0.,0.2,0.2,0.2,0.,0.2,0.,0.,0.,0.2,0.,0.2,0.2,0.4,0.4,0.,0.4,0.2,0.2,0.4,0.4,0.,0.2,0.2,0.2,0.2,0.2,0.2,0.,0.2,0.,0.,0.,0.,0.2,0.4,0.2,0.,0.2,0.,0.2,0.4,0.2,0.2,0.,0.,0.,0.2,0.2,0.2,0.2,0.2,0.2,0.,0.2,0.2,0.4,0.2,0.2,0.2,0.2,0.4,0.2,0.2,0.,0.2,0.,0.2,0.2,0.,0.2,0.4,0.2,0.,0.,0.2,0.2,0.,0.2,0.,0.,0.4,0.2,0.,0.2,0.,0.,0.2,0.2,0.4,0.4,0.2,0.2,0.2,0.,0.,0.,0.2,0.4,0.,0.4,0.6,0.4,0.2,0.2,0.2,0.2,0.2,0.2,0.2,0.,0.2,0.2,0.2,0.2,0.,0.2,0.4,0.2,0.,0.6,0.,0.2,0.2,0.,0.,0.2,0.,0.,0.2,0.,0.4,0.4,0.,0.4,0.,0.2,0.,0.4,0.4,0.4,0.,0.,0.2,0.2,0.2,0.2,0.,0.2,0.,0.,0.,0.,0.,0.2,0.2,0.,0.,0.,0.,0.25,0.,0.,0.25,0.,0.,0.25,0.,0.,0.,0.,0.,0.,0.,0.,0.,0.,0.25,0.25,0.25,0.,0.,0.,0.,0.,0.25,0.25,0.,0.,0.,0.,0.,0.25,0.,0.,0.,0.,0.,0.,0.,0.,0.,0.,0.,0.,0.,0.,0.,0.,0.25,0.25,0.25,0.,0.,0.,0.,0.,0.,0.,0.,0.,0.,0.,0.,0.25,0.,0.25,0.,0.,0.,0.,0.25,0.,0.,0.25,0.,0.,0.,0.,0.25,0.25,0.25,0.,0.,0.,0.,0.25,0.25,0.,0.,0.,0.25,0.,0.,0.,0.,0.,0.,0.75,0.,0.25,0.,0.,0.,0.,0.,0.,0.,0.,0.,0.25,0.25,0.,0.,0.,0.,0.25,0.25,0.,0.,0.,0.,0.,0.,0.,0.,0.25,0.,0.,0.25,0.25,0.,0.,0.,0.,0.,0.,0.,0.,0.,0.,0.,0.,0.,0.,0.,0.,0.,0.,0.,0.,0.,0.,0.,0.5,0.25,0.5,0.,0.25,0.,0.,0.,0.,0.25,0.,0.25,0.,0.,0.,0.,0.,0.,0.,0.25,0.,0.,0.,0.,0.,0.,0.,0.25,0.,0.,0.,0.5,0.,0.25,0.,0.25,0.25,0.,0.,0.,0.,0.25,0.25,0.,0.,0.,0.,0.2,0.,0.,0.,0.4,0.,0.,0.,0.4,0.,0.2,0.,0.,0.2,0.2,0.,0.2,0.,0.2,0.,0.2,0.2,0.2,0.4,0.,0.,0.,0.,0.,1.,0.,0.2,0.,0.4,0.,0.4,0.,1.,0.,0.,0.2,0.,0.4,0.2,0.,0.2,0.2,0.2,0.,0.,0.,0.,0.,0.,0.2,0.,0.,0.,0.,0.,0.2,0.,0.2,0.,0.,0.4,0.,0.,0.,0.2,0.,0.,0.2,0.2,0.,0.,0.,0.2,0.,0.,0.,0.,0.4,0.,0.,0.2,0.,0.2,0.,0.,0.2,0.2,0.,0.,0.,0.,0.,0.,0.,0.2,0.2,0.2,0.,0.,0.,0.,0.,0.6,0.,0.,0.,0.2,0.,0.,0.,0.,0.,0.,0.,0.2,0.,0.2,0.2,0.,0.2,0.,0.,0.,0.2,0.,0.,0.,0.,0.4,0.2,0.2,0.2,0.4,0.,0.2,0.2,0.,0.2,0.,0.,0.4,0.2,0.,0.,0.6,0.2,0.,0.,0.2,0.,0.,0.,0.,0.2,0.2,0.,0.,0.,0.,0.,0.,0.,0.,0.,0.,0.,0.2,0.,0.,0.,0.2,0.,0.,0.,0.2,0.,0.,0.,0.2,0.,0.2,0.,0.2,0.2,0.,0.,0.,0.,0.,0.4,0.2,0.2,0.16666667,0.33333333,0.33333333,0.,0.16666667,0.33333333,0.16666667,0.33333333,0.33333333,0.,0.16666667,0.16666667,0.66666667,0.83333333,0.,0.,0.,0.66666667,1.,0.16666667,0.,0.33333333,0.33333333,0.,0.16666667,0.,0.,0.66666667,0.33333333,0.16666667,0.16666667,0.33333333,0.16666667,0.,1.,0.16666667,0.33333333,0.16666667,0.33333333,0.33333333,0.16666667,0.,0.16666667,0.,0.,0.16666667,1.,1.,0.16666667,0.,0.33333333,0.33333333,0.,0.16666667,0.,0.16666667,0.66666667,0.33333333,0.33333333,0.33333333,0.16666667,0.33333333,0.66666667,0.33333333,0.33333333,0.5,0.,0.,0.16666667,0.33333333,0.,0.,0.16666667,0.16666667,0.16666667,0.16666667,0.,0.33333333,0.,0.16666667,0.33333333,0.16666667,0.16666667,0.33333333,0.,0.16666667,0.33333333,0.33333333,0.,1.,0.16666667,0.16666667,0.16666667,0.33333333,0.33333333,0.16666667,0.16666667,0.16666667,0.16666667,0.16666667,0.,0.16666667,0.16666667,0.33333333,0.16666667,0.33333333,0.33333333,0.66666667,0.66666667,0.,0.33333333,0.16666667,0.16666667,0.5,0.33333333,0.33333333,0.33333333,0.16666667,0.16666667,0.16666667,0.33333333,0.33333333,0.33333333,0.33333333,0.,0.33333333,0.,0.33333333,0.33333333,1.,0.16666667,0.33333333,0.33333333,0.33333333,0.16666667,0.5,0.66666667,1.,0.16666667,0.33333333,0.33333333,0.16666667,0.33333333,0.33333333,0.33333333,0.16666667,0.16666667,0.,0.33333333,0.16666667,0.33333333,0.66666667,0.,0.,0.66666667,0.,1.,0.66666667,0.16666667,0.16666667,0.16666667,0.66666667,0.16666667,0.83333333,0.,0.,0.66666667,0.33333333,0.16666667,0.,0.16666667,0.16666667,0.,0.16666667,0.5,0.16666667,0.5,0.33333333,0.66666667,0.,0.16666667,0.16666667,0.66666667,0.33333333,0.16666667,0.83333333,0.33333333,0.33333333,0.,0.16666667,0.33333333,0.,0.83333333,0.33333333,0.33333333,0.,0.16666667,0.33333333,0.16666667,0.33333333]</t>
  </si>
  <si>
    <t>[0.25,0.125,0.,0.5,0.625,0.5,0.125,0.625,0.,0.125,0.375,0.375,0.25,0.125,0.375,0.375,0.5,0.,0.5,0.5,0.125,0.125,0.25,0.25,0.,0.625,0.25,0.375,0.,0.25,0.75,0.25,0.5,0.125,0.25,0.125,0.375,0.5,0.,0.25,0.125,0.,0.,0.,0.25,0.,0.75,0.125,0.375,0.,0.25,0.,0.,0.5,0.125,0.,0.125,0.25,0.375,0.25,0.375,0.25,0.375,0.375,0.25,0.,0.25,0.375,0.,0.,0.,0.25,0.125,0.375,0.25,1.,0.25,0.5,0.375,0.25,0.125,0.5,0.,0.125,0.625,0.,0.375,0.125,0.25,0.25,0.25,0.125,0.125,0.5,0.125,0.625,0.125,0.25,0.25,0.25,0.25,0.5,0.75,0.375,0.25,0.125,0.,0.125,0.,0.25,0.375,0.25,0.,0.5,0.,0.25,0.,0.,0.25,0.,0.125,0.25,0.125,0.375,0.,0.,0.,0.125,0.,0.25,0.25,0.,0.875,0.5,0.375,0.25,0.25,0.375,0.375,0.25,0.25,0.25,0.25,0.375,0.,0.,0.375,0.,0.375,0.125,0.5,0.25,0.5,0.125,0.25,0.,0.125,0.125,0.25,0.25,0.25,0.5,0.,0.25,0.,0.25,0.,0.,0.,0.375,0.375,0.,0.5,0.25,0.,0.75,0.25,0.25,0.5,0.125,0.25,0.25,0.375,0.,0.25,0.375,0.375,0.25,0.125,0.875,0.25,0.25,0.125,0.375,0.5,0.,0.,0.5,0.125,0.375,0.6,0.6,0.6,0.2,0.6,0.6,0.2,0.6,0.6,0.2,0.6,0.2,0.4,0.4,0.2,0.2,0.2,0.6,0.6,0.2,0.2,0.2,0.6,0.,0.6,0.,0.6,0.4,0.4,0.4,1.,0.4,0.2,0.2,0.,0.2,0.2,0.2,0.,0.6,0.2,0.4,0.,0.,0.4,0.4,0.4,0.4,0.6,0.,0.2,0.2,0.4,0.4,0.6,0.4,0.,0.2,0.6,0.4,1.,0.2,0.2,0.4,0.6,0.,0.6,0.6,0.4,0.4,0.4,0.2,0.,0.6,0.2,0.4,0.2,1.,0.2,0.,0.4,0.2,0.2,0.2,0.2,0.4,0.6,0.2,0.6,0.4,0.2,0.4,0.2,0.2,0.6,0.2,0.2,0.,0.2,0.4,0.6,0.2,0.,0.,0.4,0.6,0.,0.4,0.2,0.2,0.,0.2,0.4,0.6,0.4,0.,0.4,0.2,0.4,0.,0.4,0.2,1.,0.4,0.2,0.2,0.4,0.6,0.4,0.,0.4,0.4,0.4,0.2,0.2,0.2,0.2,0.2,0.2,0.6,0.6,0.2,0.6,0.4,0.6,0.2,0.6,0.,0.4,0.,0.4,0.,1.,0.4,0.4,0.2,0.2,0.2,1.,0.6,0.2,0.4,0.4,0.2,0.4,0.4,0.2,0.2,0.2,0.4,0.2,1.,0.6,0.4,0.,0.2,0.2,0.4,0.4,0.4,0.6,0.6,0.,0.2,0.6,0.4,0.,0.,0.2,0.2,0.2,0.6,0.6,0.4,0.6,0.2,0.6,0.6,0.4,0.6,0.,0.25,0.25,0.25,0.,0.25,0.,0.25,0.25,0.,0.,0.25,0.25,0.,0.5,0.25,0.,0.,0.75,0.5,0.,0.25,0.,0.25,0.25,0.25,0.,0.25,0.25,0.,0.5,0.25,0.5,0.,0.25,0.,0.,0.,0.25,0.25,0.25,0.,0.5,0.,0.25,0.,0.,0.,0.,0.25,0.,0.,0.5,0.5,0.5,0.,0.5,0.,0.,0.,0.25,0.25,0.,0.,0.25,0.,0.,0.25,0.25,0.,0.,0.,0.5,0.,0.,0.25,0.25,0.25,0.,0.75,0.,0.,0.,0.,0.,0.,0.,0.,0.,0.5,0.,0.,0.5,0.25,0.5,0.25,0.25,0.75,0.,0.25,0.25,0.25,0.,0.,0.,0.,0.25,0.25,0.,0.25,0.,0.25,0.25,0.5,0.,0.25,0.25,0.,0.25,0.,0.25,0.,0.,0.25,0.5,0.5,0.,0.25,0.25,0.5,0.,0.25,0.5,0.,0.25,0.25,0.75,0.,0.5,0.75,0.25,0.25,0.25,0.5,0.,0.25,0.25,0.,0.,0.,0.,0.,0.25,0.5,0.25,0.,0.5,0.,0.5,0.,0.5,0.25,0.,0.75,0.,0.,0.5,0.,0.,0.,0.5,0.,0.25,0.25,0.5,0.,0.25,0.5,0.25,0.25,0.25,0.25,0.75,0.,0.,0.,0.25,0.,0.25,0.,0.5,0.25,0.25,0.,0.25,0.,0.25,0.5,0.25,0.25,0.6,0.4,0.,0.4,0.4,0.4,0.2,0.6,0.6,0.2,0.4,0.2,0.6,0.,0.6,0.6,0.2,0.2,0.6,0.6,0.2,0.2,0.6,0.2,0.4,0.6,0.4,0.2,0.2,0.2,0.2,0.6,1.,0.4,0.2,0.4,1.,0.6,0.4,0.4,0.2,0.,0.4,0.,0.2,0.2,0.2,0.4,0.,0.4,0.,0.,0.2,0.2,0.6,0.4,0.4,0.4,0.6,0.2,0.6,0.2,0.4,0.2,0.4,0.6,0.2,0.4,0.6,0.2,1.,0.6,0.4,0.2,0.2,1.,0.4,0.6,0.,0.6,0.2,0.6,0.,0.6,0.2,0.4,1.,0.2,0.4,0.4,0.6,0.6,0.4,0.2,0.2,0.6,0.2,0.4,0.6,0.4,0.4,0.4,0.6,0.2,0.4,0.6,0.2,0.2,0.2,0.6,0.,0.2,0.,0.6,0.,0.4,0.2,0.2,0.2,0.2,0.6,0.,0.2,0.2,0.2,0.2,0.4,0.4,0.4,0.4,0.4,0.6,1.,0.,0.,0.4,0.6,0.4,0.6,0.2,0.6,0.4,0.4,0.6,0.,1.,0.,0.2,0.6,0.4,0.2,0.4,0.4,0.4,0.4,0.,0.4,0.2,0.6,0.,0.4,0.2,0.4,0.6,0.2,0.2,0.2,0.6,0.4,0.4,0.4,0.2,1.,0.2,0.4,0.6,0.2,0.6,0.4,0.4,0.2,0.,0.2,0.6,0.4,0.2,0.4,0.4,0.2,0.,0.6,0.4,0.4,0.,0.4,0.2,0.2,0.2,0.4,0.6,0.5,0.16666667,0.16666667,0.,0.,0.5,0.,0.33333333,0.66666667,0.,0.33333333,0.,0.66666667,0.83333333,0.,0.,0.,1.,0.33333333,0.33333333,0.33333333,1.,0.5,0.,0.33333333,0.16666667,0.,1.,0.,0.33333333,0.16666667,0.33333333,0.16666667,0.,0.16666667,0.33333333,0.16666667,0.16666667,0.16666667,0.66666667,0.16666667,0.,0.,0.33333333,0.,1.,0.66666667,0.33333333,0.16666667,0.,0.33333333,0.33333333,0.33333333,0.33333333,0.16666667,0.,0.,1.,0.66666667,0.33333333,0.33333333,0.33333333,0.33333333,0.16666667,0.33333333,0.33333333,0.,0.,1.,0.5,0.,0.,0.16666667,0.83333333,0.33333333,0.16666667,0.,0.33333333,0.,0.16666667,0.,0.33333333,0.16666667,0.16666667,0.,0.16666667,0.66666667,0.33333333,0.16666667,1.,0.16666667,0.5,0.33333333,0.33333333,0.66666667,0.,0.16666667,0.5,0.33333333,0.33333333,0.,0.,0.16666667,0.16666667,0.33333333,0.5,0.33333333,0.,0.5,0.33333333,0.,0.66666667,0.,0.66666667,0.16666667,0.,0.,0.,0.33333333,0.83333333,0.16666667,0.66666667,0.33333333,0.33333333,0.33333333,0.66666667,0.,0.5,0.33333333,0.5,0.16666667,0.,0.,0.,0.,0.5,0.66666667,1.,0.,0.5,0.5,0.,0.33333333,0.33333333,0.33333333,0.33333333,0.16666667,0.,1.,0.,0.16666667,0.16666667,0.66666667,0.16666667,0.66666667,0.,0.5,0.33333333,0.33333333,0.33333333,0.33333333,0.33333333,0.,0.16666667,0.,0.,0.33333333,0.5,0.16666667,0.16666667,0.33333333,0.33333333,0.83333333,0.33333333,0.,0.16666667,0.33333333,1.,0.,0.16666667,0.33333333,0.16666667,0.33333333,0.,0.5,0.16666667,0.16666667,0.,0.5,0.33333333,0.5,0.,0.,0.33333333,0.5,0.,0.16666667,0.83333333,0.33333333,0.]</t>
  </si>
  <si>
    <t>[0.25,0.125,0.,0.625,0.75,0.375,0.125,0.125,0.,0.125,0.25,0.125,0.25,0.,0.125,0.,0.75,0.,0.,0.,0.625,0.25,0.25,0.,0.125,0.,0.,0.25,0.,0.625,1.,0.125,0.125,0.75,0.125,0.625,0.25,0.125,0.,0.25,0.125,0.375,0.375,0.125,0.625,0.25,0.25,0.125,0.125,0.125,0.,0.,0.25,0.25,0.25,0.125,0.25,0.,0.375,0.375,0.25,0.25,0.25,0.,0.125,0.125,0.25,0.625,0.375,0.,0.125,0.125,0.25,0.,0.625,0.125,0.,0.,0.125,0.,0.25,0.,0.,0.25,0.125,0.25,0.,0.125,0.,0.25,1.,0.,0.125,0.625,0.125,0.,0.125,0.,0.125,0.5,0.,0.75,0.125,0.25,0.125,0.,0.625,0.375,0.125,0.25,0.,0.375,0.125,0.125,0.,0.125,0.,0.125,0.,0.25,0.375,0.,0.125,0.125,0.125,0.25,0.25,0.25,0.125,0.,0.125,0.25,0.125,0.625,0.,0.25,0.125,0.125,0.125,0.125,0.125,0.125,0.125,0.125,0.,0.75,0.125,0.125,0.25,0.125,0.125,0.25,0.125,0.125,0.,0.125,0.125,0.25,0.25,0.125,0.25,0.,0.125,0.125,0.,0.625,0.625,0.125,0.,0.375,0.25,0.,0.,0.25,0.125,0.125,0.125,0.125,0.125,0.125,0.375,0.,0.125,0.25,0.25,0.5,0.125,0.25,0.125,0.,0.,0.375,0.,0.,0.,0.,0.25,0.125,0.125,0.625,0.2,0.4,0.6,0.4,0.2,0.6,0.2,0.4,0.2,0.2,0.4,0.2,0.2,0.,0.2,0.6,0.4,0.4,0.4,0.6,0.6,0.4,0.2,0.4,0.2,0.4,0.6,0.2,0.,0.,0.6,0.4,0.2,0.4,0.4,0.6,0.4,0.,0.2,0.2,0.6,0.4,0.6,0.6,0.2,0.,0.4,0.,0.,0.,0.6,0.2,0.4,0.4,0.4,0.4,0.4,0.6,0.6,0.6,0.4,0.4,0.4,0.2,0.4,0.4,0.6,0.2,0.4,0.4,0.2,0.6,0.2,0.6,0.4,0.2,0.2,0.2,0.6,0.2,0.2,0.2,0.4,0.6,0.6,0.4,0.4,0.4,0.4,0.4,0.,0.2,0.4,0.4,0.2,0.4,0.6,1.,0.4,0.4,0.2,0.6,0.2,0.4,0.4,1.,0.2,0.4,0.4,0.2,0.4,0.4,0.4,0.,0.4,0.2,0.2,0.4,0.4,0.,0.2,0.6,0.6,0.6,0.,0.6,0.4,0.4,0.4,0.2,0.6,0.2,0.6,0.2,0.2,0.2,0.2,0.2,0.4,0.6,0.4,1.,0.4,0.,0.6,0.2,0.6,0.2,0.2,0.,0.2,0.2,1.,0.,0.6,0.2,0.2,1.,0.6,0.6,0.4,0.,0.6,0.2,0.6,0.,0.6,0.4,1.,0.4,0.2,0.4,0.,1.,1.,0.6,0.,0.2,0.2,0.6,0.,1.,0.,0.6,0.6,0.2,0.,0.4,0.4,0.,0.4,0.,0.4,0.2,0.6,0.2,0.4,0.2,0.4,0.6,0.,0.,0.,0.25,0.,0.,0.25,0.5,0.,0.25,0.,0.,1.,0.5,0.5,0.25,0.75,0.,0.25,0.,0.,0.,0.25,0.25,0.25,0.,0.25,0.,0.,0.,0.5,0.25,0.25,0.25,0.25,0.,0.,0.25,0.,0.25,0.,0.,0.25,0.,0.25,0.25,0.,0.75,0.,0.25,0.25,0.,0.25,1.,0.,0.,0.,0.5,0.,0.,0.,0.,0.,0.,0.,0.,0.,0.5,0.,0.,0.,0.,0.5,0.,0.,0.5,0.,1.,0.,0.25,0.,0.5,0.,0.,0.25,0.,0.,0.25,0.25,0.25,0.25,0.,0.25,0.25,0.,0.,0.,0.5,0.,0.,0.25,0.25,0.75,0.,0.,0.25,0.25,0.25,0.25,0.5,0.,0.25,0.5,0.5,0.,0.5,0.,0.25,0.,0.25,0.,0.,0.5,0.25,0.,0.,0.5,0.,0.,0.5,0.,0.,0.,0.25,0.,0.5,0.,0.25,0.25,0.,0.5,0.25,0.25,0.25,0.,0.,0.25,0.5,0.25,0.,0.,0.25,0.,0.,0.,0.25,0.,0.5,0.,0.25,0.,0.,0.5,0.,0.,0.5,0.,0.,0.,0.25,0.25,0.,0.5,0.25,0.,0.25,0.,0.5,0.25,0.,0.,0.25,0.25,0.5,0.5,0.25,0.25,0.,0.,0.,0.5,0.25,0.25,0.,0.,0.5,1.,0.,0.,0.6,0.6,0.,0.2,0.2,0.,0.4,0.4,0.,0.,0.4,0.2,0.2,0.,0.2,0.2,0.4,0.,0.,0.6,0.2,0.2,0.,0.,0.4,0.4,0.2,0.6,0.,0.,0.4,1.,0.2,0.4,0.,0.2,0.,0.2,0.,0.6,0.,0.2,0.2,0.2,0.4,0.2,0.2,0.4,0.2,0.2,0.,0.,0.2,0.,0.4,0.2,0.2,0.4,0.2,0.6,0.,0.,0.4,0.,0.2,0.,0.2,0.2,0.4,0.2,0.2,0.2,0.4,0.,0.2,0.,0.,0.6,0.2,0.4,0.,0.2,0.,0.,0.4,0.4,0.,0.,0.4,0.6,0.,0.2,0.4,0.2,0.,0.,0.,0.,0.,0.,0.2,0.2,0.6,0.2,0.,0.,0.2,0.2,0.2,0.6,0.,0.2,0.,0.4,0.,0.4,0.,0.2,0.,0.2,0.,0.,0.,0.2,0.4,0.,0.2,0.2,0.,0.2,0.2,0.,0.2,0.,0.,0.4,0.2,0.,0.2,0.6,0.4,0.2,0.2,0.,0.,0.6,0.2,0.,0.6,0.4,0.,0.4,0.2,0.6,0.,0.,0.2,0.,0.4,0.,0.2,0.2,0.,0.6,0.,0.2,0.2,0.,0.,0.,0.2,0.,0.,0.4,0.2,0.,0.2,0.,0.2,0.4,0.2,0.,0.2,0.2,0.,0.4,0.,0.4,0.6,0.,0.4,0.,0.4,0.,0.4,0.2,0.,0.4,0.4,0.2,0.33333333,1.,0.16666667,0.33333333,0.16666667,0.33333333,0.16666667,0.33333333,0.16666667,0.,0.33333333,0.,1.,0.33333333,0.16666667,0.33333333,0.,1.,0.66666667,0.33333333,0.33333333,0.66666667,1.,0.33333333,0.16666667,0.16666667,0.83333333,0.66666667,0.33333333,0.16666667,0.16666667,0.33333333,0.66666667,0.16666667,1.,0.16666667,0.33333333,0.,0.16666667,0.16666667,0.16666667,1.,0.33333333,0.33333333,0.,0.16666667,0.5,0.16666667,0.16666667,0.,0.66666667,0.33333333,0.,0.83333333,0.33333333,0.16666667,0.,1.,1.,0.16666667,0.16666667,1.,1.,0.33333333,0.66666667,0.5,0.,0.,1.,0.16666667,0.,0.16666667,0.16666667,0.16666667,1.,0.33333333,0.,0.33333333,0.33333333,0.5,0.83333333,1.,0.,0.33333333,0.33333333,0.16666667,0.33333333,1.,0.,1.,0.33333333,0.16666667,0.83333333,0.83333333,0.33333333,1.,0.66666667,0.33333333,1.,0.33333333,0.16666667,1.,0.16666667,0.33333333,0.33333333,0.16666667,0.33333333,0.,0.66666667,0.33333333,1.,0.,1.,1.,0.83333333,1.,1.,1.,0.66666667,0.33333333,0.33333333,0.66666667,0.66666667,0.83333333,0.33333333,0.33333333,0.,0.5,0.33333333,1.,0.,0.33333333,0.33333333,0.66666667,1.,1.,1.,1.,0.16666667,0.5,0.33333333,0.5,0.33333333,1.,0.33333333,0.16666667,0.83333333,0.,1.,0.66666667,0.16666667,0.5,0.33333333,0.66666667,0.33333333,0.16666667,0.66666667,0.33333333,0.66666667,0.66666667,0.5,0.66666667,0.33333333,0.83333333,0.33333333,0.16666667,0.66666667,0.5,0.33333333,0.16666667,0.83333333,0.33333333,0.16666667,0.5,0.33333333,0.16666667,1.,0.33333333,0.83333333,0.33333333,1.,0.66666667,0.83333333,0.66666667,0.66666667,0.66666667,0.16666667,0.5,0.16666667,1.,0.16666667,0.,1.,0.33333333,0.16666667,0.16666667,0.66666667,0.33333333,0.16666667,0.]</t>
  </si>
  <si>
    <t>[0.375,0.,0.,1.,0.625,1.,0.25,1.,0.125,1.,0.,0.375,1.,0.25,0.5,0.625,0.25,0.125,0.,0.75,0.375,0.25,0.,0.625,0.25,0.75,0.25,0.,0.5,0.5,1.,0.75,0.25,1.,0.125,1.,1.,0.375,0.,0.25,0.75,0.25,0.125,0.,1.,0.375,1.,0.,0.5,0.75,0.125,0.125,0.75,0.25,0.125,1.,1.,0.5,1.,0.875,0.5,0.25,0.25,0.25,0.25,0.25,0.75,0.625,0.75,0.375,0.625,0.625,1.,0.,0.625,0.5,0.375,0.5,0.125,1.,0.375,0.5,0.125,0.75,0.25,0.375,0.25,0.375,0.375,0.125,1.,0.375,0.125,1.,0.25,1.,0.625,0.375,1.,0.25,0.25,0.75,0.25,0.375,0.25,0.25,0.25,0.25,0.25,0.25,0.25,0.5,0.,0.375,0.,0.25,0.125,0.125,0.375,0.375,0.25,0.25,0.25,0.625,0.25,0.125,0.5,0.75,0.25,0.375,0.75,0.75,0.625,0.5,0.625,0.375,0.625,0.,0.25,0.75,0.25,0.25,1.,0.75,0.375,1.,0.625,0.125,0.375,0.625,0.125,0.25,0.625,0.625,0.75,0.125,0.25,0.75,0.25,1.,0.625,0.5,0.5,0.75,0.,0.75,0.25,0.,0.375,0.625,0.125,0.5,1.,0.25,0.25,0.25,0.625,0.625,1.,0.375,0.25,0.125,0.625,0.75,0.25,0.375,0.75,0.625,0.125,0.,0.25,0.625,0.25,0.,0.,0.625,0.75,0.25,0.25,0.75,1.,0.4,0.4,0.2,0.6,0.6,0.6,0.6,0.4,0.4,0.6,0.4,0.4,0.4,0.4,0.2,0.6,0.4,0.4,1.,1.,0.2,0.4,0.4,0.6,0.6,0.6,0.4,1.,0.4,0.4,1.,0.4,0.6,0.4,1.,0.2,0.4,0.4,0.6,0.6,0.4,0.2,0.6,0.6,0.4,0.6,0.,1.,0.2,0.2,0.4,0.6,0.6,0.6,0.4,0.,0.6,0.4,0.6,1.,0.4,0.4,1.,0.,0.6,0.4,0.2,0.4,1.,0.6,0.2,1.,0.6,0.6,0.4,0.4,1.,1.,0.4,0.6,0.4,0.2,0.6,0.4,0.2,1.,0.6,1.,0.6,0.4,0.4,0.6,0.6,0.4,0.6,0.6,0.6,0.4,0.2,0.6,0.6,0.2,0.6,0.6,1.,0.4,0.4,0.4,0.4,0.,0.6,0.4,0.4,0.2,1.,0.6,0.6,0.6,1.,1.,0.6,0.6,1.,0.6,0.4,1.,0.6,1.,0.6,0.4,0.4,0.2,0.6,0.4,0.2,0.4,0.6,0.6,0.6,0.4,0.2,1.,0.6,0.6,0.6,0.4,0.2,0.6,0.,1.,0.2,1.,0.6,0.4,0.2,0.6,1.,0.6,0.4,0.4,0.4,0.4,0.6,0.6,0.4,0.4,0.6,0.4,1.,0.6,1.,0.2,0.6,0.6,0.6,0.2,0.6,0.4,0.6,0.4,1.,1.,0.4,0.6,0.4,0.4,0.6,0.4,0.6,0.4,0.6,0.6,0.4,0.6,0.4,0.4,0.4,0.6,0.4,1.,0.25,1.,0.5,0.5,0.75,0.5,0.5,0.,0.,0.25,0.,0.75,0.5,0.5,0.5,0.5,0.25,1.,1.,0.,0.75,0.5,0.5,1.,0.5,0.25,0.75,0.25,0.25,1.,0.25,0.5,0.25,0.25,0.25,0.5,0.5,0.5,0.75,0.5,0.25,0.75,0.25,0.75,1.,0.25,0.5,1.,0.5,0.25,0.25,0.5,0.75,0.5,1.,0.5,0.5,1.,0.25,0.25,0.25,0.5,0.25,0.5,0.25,0.5,0.5,0.5,0.5,0.5,0.5,0.5,0.25,0.5,0.75,0.5,0.5,0.5,0.75,0.25,1.,0.,1.,0.25,0.25,0.25,0.,0.5,0.75,0.5,0.25,0.5,0.25,1.,0.5,0.5,1.,0.75,0.75,0.25,0.5,0.75,0.25,0.25,1.,1.,0.25,0.25,0.5,0.,0.25,0.5,0.75,1.,0.5,0.25,0.,0.25,0.25,0.75,0.,0.25,0.5,1.,0.25,0.25,0.5,0.5,0.25,0.25,1.,0.5,0.25,0.25,0.5,1.,0.25,0.5,0.5,0.25,0.25,1.,0.5,0.,0.5,0.5,0.5,0.75,0.25,0.75,1.,1.,0.25,1.,0.25,0.75,0.5,1.,0.75,1.,0.25,0.5,0.5,0.25,0.25,0.5,0.75,0.5,0.25,0.75,0.25,0.5,0.75,0.75,0.5,1.,1.,0.25,0.25,0.25,0.25,1.,0.25,1.,0.25,0.5,0.5,0.25,0.5,0.,0.5,0.75,0.25,0.5,0.25,0.5,0.75,0.75,0.5,0.6,0.4,0.4,0.4,0.4,0.4,0.6,0.6,0.2,0.4,0.4,0.4,1.,0.4,0.6,0.4,0.4,0.2,0.2,0.4,0.4,0.4,0.6,1.,1.,0.6,0.6,0.4,0.2,0.4,1.,0.6,0.4,0.2,0.2,0.4,0.4,0.6,0.2,0.6,1.,0.2,0.2,1.,0.6,0.2,0.4,0.4,1.,0.6,0.,0.4,0.2,0.2,0.6,0.4,1.,0.4,0.4,0.4,0.6,0.2,0.4,0.6,0.6,0.2,0.4,0.6,0.6,0.4,0.4,0.4,1.,0.6,0.6,0.4,0.4,1.,0.4,0.6,0.4,0.4,0.2,1.,1.,0.4,0.4,0.4,0.4,0.6,1.,0.6,1.,0.6,0.6,1.,0.4,1.,0.6,0.6,0.6,0.6,0.6,0.6,0.6,0.4,0.4,0.6,0.6,0.4,0.6,0.4,0.4,1.,0.4,0.4,0.6,0.2,0.4,0.4,0.4,0.2,0.4,0.4,1.,0.2,0.4,0.6,0.2,0.6,0.6,0.6,0.6,0.2,0.4,0.6,0.4,0.4,0.2,0.6,0.6,0.4,0.6,0.6,0.4,0.4,0.2,0.4,0.4,0.4,1.,0.6,0.6,0.4,0.4,0.4,0.4,0.4,0.6,1.,1.,0.2,0.6,1.,0.4,0.4,0.4,0.4,0.,0.2,0.6,0.6,0.6,0.6,0.4,0.6,0.4,0.2,0.4,0.4,0.6,0.2,0.4,0.6,0.6,0.4,0.4,1.,1.,0.2,1.,0.4,0.4,0.4,0.6,0.4,0.4,0.6,0.6,1.,0.33333333,1.,1.,0.,0.33333333,1.,0.,0.16666667,0.66666667,0.,0.33333333,0.,1.,1.,0.16666667,0.,0.16666667,1.,1.,0.66666667,1.,1.,1.,0.,0.33333333,0.,0.,1.,0.33333333,1.,0.33333333,0.33333333,0.83333333,0.16666667,0.,1.,1.,0.16666667,0.16666667,0.83333333,0.16666667,0.,1.,1.,0.33333333,1.,0.66666667,1.,0.,0.,0.83333333,1.,0.,0.66666667,1.,0.5,0.33333333,0.83333333,1.,0.33333333,0.5,1.,1.,1.,0.83333333,1.,0.,0.,0.16666667,0.83333333,0.,0.,0.33333333,1.,1.,0.83333333,0.,1.,1.,1.,0.83333333,0.33333333,1.,0.33333333,0.,1.,0.33333333,1.,0.,1.,0.83333333,0.33333333,0.33333333,0.5,1.,1.,0.33333333,0.33333333,1.,0.66666667,0.33333333,0.5,0.83333333,1.,0.33333333,1.,0.33333333,0.33333333,1.,0.33333333,1.,0.16666667,1.,1.,0.16666667,0.,0.16666667,0.33333333,1.,0.33333333,1.,0.33333333,0.66666667,1.,0.33333333,0.33333333,0.,0.33333333,1.,1.,0.66666667,1.,0.66666667,0.,0.16666667,0.5,0.66666667,1.,0.,1.,0.,0.,0.33333333,1.,1.,0.33333333,1.,0.,1.,1.,1.,0.66666667,0.66666667,0.66666667,1.,0.16666667,1.,0.5,0.33333333,0.66666667,1.,1.,0.33333333,1.,1.,0.,0.5,1.,0.16666667,1.,0.83333333,0.33333333,1.,1.,0.16666667,0.5,0.,0.83333333,0.66666667,0.,1.,0.5,1.,0.83333333,1.,0.66666667,0.,0.,1.,1.,0.66666667,0.,1.,0.33333333,0.16666667,0.33333333,0.33333333,0.66666667,0.83333333,0.]</t>
  </si>
  <si>
    <t>Fig5A_Sim_Unseen_DistShift</t>
  </si>
  <si>
    <t>[False,False,False,False,Tru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True,False,False,False,True,False,False,False,False,False,False,False,False,Tru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]</t>
  </si>
  <si>
    <t>[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]</t>
  </si>
  <si>
    <t>[False,False,True,False,False,False,False,False,False,False,False,False,False,False,False,False,False,False,False,False,True,False,False,False,False,False,False,True,False,False,False,False,False,False,False,False,True,False,False,Tru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Tru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]</t>
  </si>
  <si>
    <t>[False,True,False,False,False,False,False,False,False,False,False,False,False,False,True,False,False,False,False,False,False,False,True,False,False,False,False,False,False,False,False,False,False,False,False,True,False,False,False,False,False,False,False,False,False,False,False,False,False,False,False,False,False,False,False,False,False,False,False,True,False,False,False,True,False,False,False,False,False,True,False,False,False,False,False,False,False,False,False,False,False,False,False,False,True,False,True,False,True,False,False,False,False,False,False,False,False,False,False,False,False,True,False,False,False,False,False,True,False,False,False,False,True,False,False,False,False,False,False,True,False,False,True,False,False,False,False,False,False,False,False,True,False,False,True,False,False,False,False,False,False,False,False,False,True,False,False,False,False,False,False,False,False,False,False,False,False,True,False,False,False,False,False,False,False,False,False,True,False,False,False,False,False,True,False,False,False,False,False,False,False,False,False,False,False,False,False,False,True,False,False,False,False,True,True,False,False,False,False,True]</t>
  </si>
  <si>
    <t>[False,False,False,False,False,False,False,False,False,False,False,False,True,False,False,False,False,False,False,False,False,False,False,False,False,False,False,False,False,False,False,False,Tru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True,False,False,False,False,False,False,False,False,False,False,False,False,False,False,False,False,False,False,False,False,False,False,False,False,False,False,False,False,False,False,False,False,False,False,False,False,True,False,False]</t>
  </si>
  <si>
    <t>[True,False,False,False,False,False,False,False,False,False,False,False,True,False,False,False,False,False,True,False,False,False,False,False,False,False,False,False,False,False,False,False,False,False,False,False,False,False,False,True,False,False,False,False,False,Tru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True,False,False,False,False,False,False,False,False,False,False,False,False,False,False,False,False,True,False,False,False,True,False,False,False,False,False,False,False,False,False,False,False,False,False,False,False,False,False,False,False,False,False,False,False,False,False,True,False,True,False,False,False,False,False,False,False,False,False,False,False,False,False,False,False,False,False,False,False,False,False,False,False,False,False,False,False,False,False,False,False,False,False,False,False,True,False,False,False,False,True,False,False]</t>
  </si>
  <si>
    <t>[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</si>
  <si>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False,False,False,True,False,False,False,False,False,False,False,False,False,False,True,False,False,False,False,False,False,False,False,False,False,True,False,False,False,False,True,False,False,False,False,False,False,False,False,False,False,False,False,False,True,False,False,False,False,False,False,False,False,True,False,False,False,False,False,False,False,False,False,False,False,False,False,True,False,False,False,False,True,False,False,False,False,False,False,True,False,False,False,False,True,True,False,False,False,False,True,False,True,False,False,Tru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True,False,False,False,False,False,False,False,False,False,False,False,True,False,False,False,False,False,False,True,False,False,False,False,False,False,False,False,False,False,False,False,False,False,False,False,False,False,True,False]</t>
  </si>
  <si>
    <t>[False,True,True,False,False,False,False,False,False,False,False,False,False,False,False,False,False,True,True,False,False,True,False,False,False,False,False,True,False,False,False,False,True,False,False,True,False,False,False,False,False,False,False,False,False,False,False,True,False,False,False,False,False,True,False,False,False,False,True,False,False,False,True,False,False,False,False,False,False,False,False,False,False,False,True,False,False,True,False,True,False,False,False,True,False,False,True,True,False,True,False,False,False,False,False,False,False,False,True,False,False,True,False,False,False,False,False,True,True,False,False,False,False,True,True,False,False,False,False,False,False,False,False,False,True,False,False,False,False,True,False,True,False,False,False,False,True,True,False,True,False,False,False,False,False,False,True,False,True,False,False,False,True,True,False,False,True,True,False,False,True,False,False,False,False,False,True,False,False,False,False,False,True,False,False,False,False,False,False,False,True,False,False,False,False,False,False,False,True,True,True,False,True,False,False,False,False,False,False,False]</t>
  </si>
  <si>
    <t>[True,True,True,False,False,False,False,True,True,False,False,False,True,True,True,False,False,True,False,False,True,False,False,False,False,False,False,True,False,False,False,False,False,False,False,False,False,False,False,False,False,False,False,True,False,True,True,True,False,False,True,True,False,False,False,False,True,False,True,False,False,True,True,False,False,False,True,False,False,False,False,False,False,False,True,True,False,False,False,False,True,False,False,False,True,True,False,True,False,True,False,False,False,True,False,False,False,False,True,False,False,False,True,False,False,False,False,True,True,False,True,False,False,True,True,False,False,False,True,True,False,True,False,False,True,False,False,False,False,False,False,False,False,False,False,False,True,False,False,False,True,False,False,False,False,False,True,False,True,True,False,False,False,False,False,False,True,False,False,True,False,False,False,False,True,False,False,True,False,False,False,False,True,False,False,False,False,True,True,False,False,False,False,False,False,False,True,False,False,True,False,False,False,False,False,False,False,False,True,False]</t>
  </si>
  <si>
    <t>[False,False,False,False,False,False,False,False,False,False,False,False,False,True,False,True,False,False,False,False,False,False,False,False,False,False,False,False,False,False,True,False,False,False,False,False,True,False,False,False,False,False,True,False,False,False,True,False,False,False,False,False,False,False,False,True,False,False,False,False,False,False,False,False,False,False,False,True,False,False,False,False,False,False,False,True,False,Tru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Tru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True,Tru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Tru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True,False,False,False,False,False,False,False,False,False,False,False,True,False,False,False,False,False,False,False,False,False,False,False,False,False,False,False,False,False,False,True,False,False,False,False,False,False,False,False,False,False,False,False,True,False,False,False,True,False,False,False,False,False,False,False,False,False,False,False,False,False,False,False,False,False,False,False,False,False,False,False,False,False,False,False,False,True,False,False,False,False,False,False,False,False,False,False,False,False,False,False,True,True,False,False,False,True,False,False,False,False,False,False,False,False,False,False,False,False,False,False,False,False,False,False,False,True,False,False,False,False,False,True,False,False,False,False,False,False,True,False,False,False,False,False,False,False,False,True,False,False,True,False,False,False,False,False,False,False,False,False,False,False,False,False,False,False,False,False,True,False,False,False,False,False,False,True,False,False,False,False,False,False,False,False,False,False,False,False,False,False,False,False,True,Tru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True,True,False,False,False,True,False,False,False,False,False,False,False,True,False,False,True,False,False,False,False,True,False,False,False,False,False,False,False,False,False,True,False,False,False,False,False,False,False,False,False,False,False,False,False,False,False,True,False,False,False,False,False,False,False,False,False,False,False,False,False,False,False,False,True,False,True,False,False,True,True,False,False,False,True,False,False,False,False,False,False,True,False,False,False,False,False,True,False,False,True,False,False,False,True,True,False,False,False,False,False,False,True,False,False,False,False,False,False,True,True,False,False,False,False,True,False,False,False,False,False,False,True,False,False,False,False,False,False,False,False,False,False,False,False,False,False,False,False,False,True,False,False,False,False,False,False,False,False,False,False,False,False,False,False,False,False,False,True,False,False,False,False,False,False,False,False,False,False,False,False,True,False,False,False,False,False,False,False,False,False,False,False,False,False,False,False,False,False,False,False,False,True,False,False,False,False,False,False,False,False,False,False,False,False,False,False,False,False,False,False,False,False,True,False,False,False,False,False,False,False,False,False,False,False,False,False,False,True,False,True,False,False,False,False,False,False,False,False,False,True,False,False,False,False,False,False,False,False,False,False,False,False,False,False,False,False,False,False,False,False,False,True,False,False,False,False,False,False,False,False,False,False,False,False,False,False,False,False,False,False,False,False,False,False,False,False,True,False,False,False,False,False,False,False,False,True,False,False,False,False,False,False,False,False,False,False,False,False,False,False,False,False,False,False,False,False,False,False,False,False,False,True,False,False,False,False]</t>
  </si>
  <si>
    <t>[False,False,False,False,False,False,False,False,False,True,False,False,False,False,False,False,False,False,True,False,False,False,False,False,False,False,False,False,False,False,False,False,False,False,False,False,False,False,False,False,False,False,False,False,True,False,True,False,False,False,False,False,False,False,False,False,False,False,False,False,False,False,False,True,True,False,False,False,False,False,False,False,False,False,False,False,False,False,False,False,False,False,False,True,False,False,False,False,False,False,True,False,False,False,True,False,False,False,False,False,False,False,False,False,False,False,False,False,False,False,False,False,False,True,False,False,True,True,False,False,False,False,False,False,True,False,False,False,True,False,False,False,False,False,False,False,False,False,False,False,False,True,False,False,False,False,True,False,False,False,False,False,True,False,False,False,False,False,True,False,False,True,False,False,False,False,False,False,False,False,False,False,False,True,False,False,False,False,False,False,True,False,False,True,False,False,False,False,False,False,False,False,False,False,False,False,False,False,False,False,False,False,False,False,False,False,False,False,False,False,False,False,False,False,False,True,False,False,False,False,False,False,False,False,False,False,False,True,False,False,False,False,False,False,False,False,False,False,False,False,False,True,False,True,False,False,False,False,False,True,False,False,False,False,False,False,False,True,False,False,False,False,False,False,True,False,False,False,False,False,True,True,False,True,False,False,False,False,False,False,False,False,True,False,False,False,False,False,False,False,False,False,False,False,False,True,False,False,False,False,False,False,False,True,True,False,False,False,False,False,False,False,False,False,False,False,False,False,False,False,True,False,False,False,False,False,True,True,False,False,False,True,False,False,False,True,True,True,False,False,False,False,False,True,False,True,False,False,False,False,False,False,False,True,False,False,False,False,False,True,False,False,False,False,False,False,False,False,False,False,False,False,False,False,True,False,True,True,False,False,False,False,False,False,False,True,True,False,True,False,False,False,False,False,True,False,False,False,False,False,False,False,False,False,False,False,False,False,False,False,False,False,False,False,False,False,True,True,False,False,True,False,False,False,False,False,True,False,False,False,False,False,False,False,False,False,False,False,False,False,False,False,False,False,False,False,False,False,False,False,False,False,False,False,False,False,False,False,False,False,False,False,False,False,False,False,False,True,False,True,False,False,False,False,False,False,False,True,True,False,False,False,False,False,False,False,False,True,False,False,True,False,False,False,False,False,False,False,False,False,True,False,False,False,False,False,False,True,False,False,False,False,False,False,False,False,False,False,False,True,False,True,False,False,False,False,False,False,False,False,False,True,False,False,False,False,False,False,False,True,False,False,False,False,False,False,False,False,False,False,False,False,False,False,False,False,False,False,False,False,False,False,True,False,False,False,False,False,False,False,False,True,False,False,False,False,True,False,False,True,False,False,False,False,False,False,False,False,False,False,False,False,False,False,False,False,False,False,False,False,False,False,True,False,True,False,False,False,False,False,True,False,False,False,False,False,False,False,False,False,False,False,False,True,True,False,False,False,False,False,False,False,False,False,False,False,False,False,False,False,False,False,False,False,False,True,False,True,False,False,False,False,False,True,False,False,False,False,Tru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True,False,False,False,False,False,False,False,False,False,False,False,True,False,False,False,False,False,False,False,False,True,False,False,False,False,True,False,True,False,False,False,False,False,False,False,False,False,False,False,True,False,False,True,False,False,False,False,False,True,False,False,False,False,False,False,False,False,False,False,False,True,False,False,False,False,False,False,False,False,False,False,False,False,True,False,False,True,False,False,False,False,False,False,False,True,False,False,False,False,False,False,False,False,False,False,False,False,True,False,False,True,False,False,False,False,False,False,False,False,False,False,False,False,True,True,False,False,False,False,False,False,False,False,True,False,False,False,False,False,False,False,False,False,False,False,False,False,False,False,False,False,False,False,False,False,False,False,False,False,False,True,False,True,False,False,False,False,False,True,False,False,False,True,False,False,False,False,False,False,False,True,False,False,False,False,False,False,False,False,False,False,False,False,True,False,False,False,False,False,False,False,False,False,True,False,True,False,False,False,False,False,False,False,False,False,False,False,True,False,False,False,False,False,False,False,False,False,False,False,False,False,False,False,False,False,True,False,False,False,True,False,False,False,False,False,False,False,False,False,False,False,False,False,False,False,True,False,False,False,False,False,False,False,False,False,False,False,False,True,True,False,False,True,False,False,False,False,False,False]</t>
  </si>
  <si>
    <t>Fig5B_Sim_Unseen_DistShift_Scaling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</si>
  <si>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</si>
  <si>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</si>
  <si>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</si>
  <si>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False,False,False,False,False,False,False,False,False,False,False,False,False,False,True,False,False,False,False,False,False,False,True,False,False,False,False,False,False,False,False,False,False,False,False,False,False,False,False,False,True,False,False,False,False,False,False,False,False,False,False,False,False,False,False,False,False,False,False,False,False,False,False,False,False,False,False,True,False,False,False,False,False,False,False,False,False,False,False,False,False,False,False,False,True,False,False,False,False,False,False,False,False,False,False,False,False,False,False,False,False,False,False,False,False,False,False,False,False,False,False,False,False,False,Tru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True,False,False,False,False,False,False,False,False,False,False,False,False,False,False,False,False,False,False,False,False,False,False,False,False,True,False,False,False,False,False,False,False,False,False,False,False,True,False,Tru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True,False,False,False,False,False,Tru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True,False,False,False,False,False,False,Tru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True,False,False,False,False,False,False,True,False,False,False,False,Tru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True,False,True,False,False,False,False,False,False,False,False,False,False,False,False,False,False,False,False,False,False,False,False,False,False,False,False]</t>
  </si>
  <si>
    <t>[False,False,False,False,False,False,False,False,False,False,False,False,False,False,False,False,False,False,True,True,False,False,False,False,False,False,False,False,False,False,False,False,False,False,False,False,False,False,False,True,False,False,False,False,False,False,False,False,False,True,False,False,False,False,False,False,False,False,False,False,False,False,False,True,False,False,False,False,False,False,False,True,False,False,False,False,False,False,False,False,False,True,False,False,False,False,False,False,False,False,False,False,False,False,False,False,False,False,False,True,False,False,False,False,False,False,False,False,False,False,False,False,False,False,False,False,False,False,False,False,True,False,False,False,False,False,False,True,False,False,False,False,True,False,False,False,False,False,False,True,False,False,False,False,False,False,False,False,False,False,False,False,False,False,False,False,False,False,False,False,False,False,False,False,False,False,False,False,False,False,False,False,False,False,False,True,False,False,False,False,True,False,False,False,False,True,False,False,False,False,False,False,False,False,False,True,False,False,False,False,True,False,False,True,False,False,False,False,False,True,True,False,False,False,False,False,False,False,False,False,True,False,False,False,False,False,False,False,False,False,False,False,False,False,False,False,False,False,False,False,False,False,False,False,False,False,True,False,False,False,False,False,False,False,False,False,False,False,False,False,False,False,True,False,True,False,False,False,False,True,False,False,False,False,False,False,False,False,False,False,False,False,False,False,False,False,False,False,False,False,False,Tru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True,False,False,False,False,False,True,False,False,False,False,False,False,False,False,False,False,False,False,False,True,False,False,False,False,False,False,False,False,False,False,False,False,False,False,False,False,False,False,False,False,False,False,False,False,False,False,False,True,False,True,False,True,False,True,False,False,False,True,False,False,False,False,False,False,False,False,False,False,False,False,False,False,True,False,False,False,False,False,False,False,Tru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True,False,False,False,False,False,False,False,False,False,False,False,False,False,False,False,False,False,True,False,False,False,False,False,False,False,False,False,False,False,False,False,False,False,False,False,False,False,False,False,False,False,False,True,False,False,False,False,False,False,False,False,False,False,False,False,False,False,True,False,False,False,False,False,False,False,False,False,False,True,False,False,False,False,False,False,False,False,False,False,False,False,False,False,False,False,False,False,False,False,False,False,False,False,True,False,False,True,False,False,False,False,False,False,False,False,False,False,False,True,False,False,False,Tru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True,False,True,True,False,False,False,False,False,False,False,False,True,False,False,False,False,False,False,False,False,False,False,False,False,False,False,True,False,False,False,False,False,False,False,False,False,False,False,False,False,False,False,False,False,False,False,False,False,False,False,False,False,False,False,False,True,False,False,False,False,False,False,False,False,False,False,False,True,True,False,False,False,False,False,False,False,False,False,False,False,False,False,False,False,False,False,False,False,False,False,False,False,False,False,False,True,False,False,False,False,False,False,True,False,False,False,False,False,False,False,False,False,True,False,False,False,False,False,False,False,False,False,False,False,False,True,False,False,False,False,False,False,False,True,False,False,False,False,True,Tru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]</t>
  </si>
  <si>
    <t>[False,False,False,False,False,False,Tru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True,False,False,False,False,False,False,False,False,False,False,False,False,False,False,True,False,False,False,True,False,False,False,False,False,False,False,False,False,False,False,False,False,False,True,True,False,False,False,False,True,False,False,False,True,True,False,False,False,False,False,False,False,False,False,False,False,True,False,False,False,False,False,True,False,False,False,False,Tru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True,False,False,False,False,False,False,False,False,False,False,False,False,False,False,False,False,False,False,False,False,Tru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True,False,False,False,False,False,False,False,False,False,True,False,False,False,False,False,False,False,False,False,False,False,False,False,False,False,False,False,False,False,False,False,False,False,True,True,False,False,False,False,False,False,False,False,False,True,False,False,False,False,False,False,False,False,False,False,False,False,False,False,False,False,False,False,False,False,False,False,False,False,False,False,True,False,False,False,False,False,False,False,True,False,False,False,False,False,False,False,False,False,True,True,False,False,False,False,False,False,True,False,False,False,False,False,False,False,False,False,False,False,True,False,False,False,True,True,False,False,False,False,True,False,False,False,False,False,False,False,False,False,False,False,False,False,False,False,True,False,False,False,False,False,False,False,False,False,False,False,True,True,False,False,False,False,False,False,False,False,False,False,True,False,False,False,False,False,False,False,False,False,False,False,False,False,Fals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True,False,False,False,False,False,False,True,False,False,True,False,False,False,False,True,False,False,False,False,False,False,False,False,False,False,False,False,False,False,False,False,False,False,False,False,False,False,False,False,False,False,False,False,True,False,False,False,False,False,False,False,False,False,False,False,False,False,True,False,False,False,False,False,False,True,False,False,False,False,False,False,False,False,False,False,False,False,False,False,False,False,True,False,False,False,False,False,False,False,False,False,False,True,False,False,False,False,False,False,False,False,False,False,False,False,False,False,False,True,False,False,False,False,False,False,False,False,False,False,False,False,False,False,False,False,False,False,False,False,False,False,False,True,False,False,False,False,False,False,False,False,True,False,False,False,False,False,False,False,False,True,False,False,False,False,False,False,False,False,False,False,False,False,False,False,False,False,True,False,False,False,False,False,False,False,True,False,False,False,False,False,False,False,False,False,False,False,False,True,False,False,False,False,False,False,True,False,False,False,False,False,False,True,False,False,True,False,True,False,False,False,False,False,False,False,False,False,False,False,False,False,False,False,False,False,False,False,False,False,False,False,False,False,False,False,False,False,True,False,False,False,False,False,False,True,False,False,False,False,False,False,False,False,False,False,False,False,False,False,False,False,False,False,False,False,False,False,False,True,False,False,False,False,False,False,False,True,False,False,True,False,False,False,True,False,False,False,False,False,False,False,False,False,False,False,False,False,False,False,False,False,False,False,False,False,False,False,False,True,True,False,False,False,False,False,False,False,False,True,False,False,False,False,False,False,False,False,False,False,True,False,False,False,False,True,False,False,False,False,False,False,False,False,False,False,True,False,False,False,False,False,False,False,False,False,False,False,False,False,False,False,False,False,False,False,False,False,False,False,False,False,False,False,False,False,False,True,False,False,False,Tru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True,False,False,False,False,False,False,False,False,True,False,False,False,False,False,False,False,False,False]</t>
  </si>
  <si>
    <t>[True,False,False,False,False,False,False,False,False,False,False,False,False,False,False,False,False,True,False,False,False,False,False,False,False,False,False,False,False,False,False,False,False,False,True,False,False,False,False,False,False,False,True,False,True,True,False,False,False,False,Tru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True,False,False,False,False,False,False,False,False,False,False,True,False,False,False,False,False,False,False,False,False,False,True,False,False,False,False,True,False,False,True,False,True,False,False,False,False,False,True,False,False,False,False,False,False,False,True,False,False,False,False,True,False,False,False,False,False,False,False,False,False,True,False,True,False,False,False,False,False,False,False,False,False,False,False,False,True,False,True,False,False,False,False,False,False,False,False,False,False,False,False,False,False,False,False,False,False,False,False,False,False,False,False,False,False,False,True,False,False,False,False,False,False,False,False,False,False,False,False,False,True,False,False,False,False,False,False,True,False,True,False,False,False,False,True,False,False,False,False,False,False,True,False,False,True,False,False,True,False,False,False,False,False,False,False,False,False,False,False,False,False,False,False,False,False,False,False,False,False,True,False,True,False,True,False,False,False,False,False,True,False,False,False,False,False,False,True,False,False,False,False,False,False,False,False,False,False,True,True,False,False,False,False,False,False,False,False,False,False,False,False,False,True,False,False,False,False,False,False,False,False,True,False,False,False,False,False,False,False,False,True,False,True,False,False,False,False,False,True,False,False,False,True,False,True,False,False,False,False,False,False,False,False,False,False,False,False,False,False,False,False,False,False,False,False,False,False,True,False,False,False,False,False,False,False,False,False,True,True,False,False,True,False,False,True,False,False,False,False,False,False,False,False,False,False,True,False,False,False,False,False,False,True,False,False,False,False,False,False,False,False,False,False,False,False,False,True,True,False,False,False,False,False,False,False,False,False,False,False,False,False,False,False,False,False,False,False,False,False,False,False,False,False,True,False,False,False,False,False,False,True,False,False,False,False,False,False,False,False,True,False,False,False,False,False,False,False,False,False,False,False,False,False,False,False,False,False,False,False,False,False,True,False,False,False,False,False,False,False,False,False,False,False,False,False,False,False,False,False,False,False,False,False,False,True,True,False,False,False,True,False,False,False,False,False,False,False,False,False,False,False,False,True,True,False,False,False,False,False,False,False,False,False,False,False,False,False,False,False,False,False,False,False,False,False,False,False,False,False,False,False,False,False,False,False,False,False,False,True,False,False,False,True,False,False,False,False,False,False,False,False,False,True,True,False,False,False,False,False,False,False,False,False,False,False,False,False,False,False,True,False,False,False,False,False,False,False,False,False,False,False,False,False,False,False,False,True,False,False,False,False,False,False,False,True,False,False,False,False,False,False,False,False,False,False,False,True,False,False,False,False,False,False,True,False,False,False,False,True,False,True,False,False,False,False,False,False,False,False,False,False,True,True,False,True,False,True,False,False,False,False,False,False,False,False,False,False,False,True,False,False,False,False,False,False,False,False,False,False,True,False,False,True,False,False,False,False,False,True,False,False,False,False,False,False,False,False,False,True,False,False,False,True,False,True,False,False,False,False,False,False,False,False,True,False,False,False,False,False,False,False,False,False,False,False,True,False,False,False,False,False,False,True,False,False,False,True,False,False,False,False,False,False,False,False,False,False,False,False,False,False,False,False,False,True,True,True,False,True,True,False,False,False,False,False,False,False,False,False,False,False,False,False,True,False,False,False,False,False,False,False,False,False,False,False,False,True,False,False,False,False,False,False,False,False,False,False,False,True,False,True,False,False,False,False,False,False,False,False,False,False,False,False,False,False,False,False,False,False,False,False,False,False,False,True,False,False,False,False,False,False,False,False,False,False,False,False,False,False,False,True,False,False,True,False,False,False,False,False,False,False,False,True,False,False,False,False,False,False,False,False,False,False,False,False,False,False,True,False,True,False,False,True,False,False,False,True,False,False,False,False,False,False,False,False,False,False,False,False,False,False,False,False,False,False,False,False,False,False,False,False,False,False,False,True,False,True,False,False,False,False,False,False,False,False,False,False,False,True,False,True,False,False,False,False,False,False,False,False,False,False,False,False,False,False,False,False,False,False,True,False,False,False,False,False,False,False,False,False,False,False,False,True,False,False,False,False,False,False,False,True,False,False,True,False,False,False,False,False,False,False,True,False,False,False,False,False,False,False,False,False,False,False,False,False,False,False,False,True,False,True,False,False,False,False,False,False,False,True,False,True]</t>
  </si>
  <si>
    <t>Fig5C_Sim_Unseen_DistShift_Progress</t>
  </si>
  <si>
    <t>[0.25,0.,0.125,0.,1.,0.5,0.625,0.25,0.,0.125,0.,0.125,1.,0.25,0.625,0.25,0.375,0.,0.,0.,0.125,0.,0.,0.5,0.,0.25,0.,0.,0.125,0.,0.25,0.25,0.25,0.75,0.,0.125,0.75,0.,0.,0.375,0.,0.125,0.5,0.375,0.125,0.25,0.,0.,0.,0.,0.,0.,1.,0.375,0.,0.375,0.25,0.125,0.375,0.625,0.125,0.25,0.,0.125,0.,0.375,0.375,0.125,0.25,0.125,0.125,0.125,0.125,0.25,1.,1.,0.,0.,0.,0.,0.,0.,0.,0.25,0.625,0.25,0.25,0.125,0.75,0.25,0.75,0.,0.125,0.25,0.,0.25,0.,0.25,0.25,0.25,0.,0.625,0.25,0.75,0.25,0.125,0.125,0.125,0.,0.25,0.,0.,0.,0.375,0.,0.125,0.,0.125,0.,0.125,0.5,0.,0.125,0.75,0.125,0.5,0.,1.,0.375,0.,0.,0.,1.,0.5,0.125,0.125,1.,0.,0.25,0.125,0.25,0.25,0.25,0.,0.,1.,0.375,0.,0.,0.125,0.125,0.25,0.25,0.625,0.25,0.375,0.125,0.25,0.125,0.125,1.,0.125,0.5,0.375,0.,0.25,0.125,0.25,0.,0.,0.25,0.375,0.,0.125,0.,0.25,0.,0.25,0.,0.5,0.25,0.,0.375,0.625,0.375,0.125,0.125,0.75,0.125,0.5,0.25,0.25,0.25,0.,0.25,0.375,0.25,0.625,0.125,0.25]</t>
  </si>
  <si>
    <t>[0.5,0.,0.375,0.75,0.375,0.125,0.625,0.,0.375,0.5,0.25,0.125,0.125,0.375,0.5,1.,0.75,0.125,0.,0.75,0.25,0.125,0.,0.375,0.25,0.625,0.75,0.625,0.5,0.25,0.375,0.375,0.625,0.5,0.25,0.,0.5,0.625,0.125,0.75,0.625,0.,0.125,0.25,0.25,0.25,0.5,0.,0.25,0.625,0.5,0.,0.5,0.5,0.25,0.5,0.375,0.5,0.25,0.25,0.125,0.25,0.75,0.125,0.375,0.125,0.125,0.625,0.,0.25,0.5,0.375,0.5,0.,0.75,0.5,0.5,0.5,0.625,0.5,0.5,0.,0.375,0.375,0.75,0.25,0.25,0.25,0.625,0.125,0.625,0.,0.25,0.25,0.,0.25,0.375,0.75,0.,0.25,0.375,0.5,0.375,0.375,0.25,0.,0.625,0.25,0.,0.,0.,0.5,0.25,0.5,0.25,0.125,0.,0.125,0.,0.,0.25,0.,0.25,0.75,0.375,0.5,0.625,0.75,0.5,0.25,0.75,0.25,0.5,0.5,0.5,0.375,0.625,0.,0.625,0.25,0.25,0.125,0.25,0.5,0.,0.125,0.125,0.375,0.,0.5,0.25,0.25,0.25,0.5,0.5,0.,0.375,0.,0.375,0.75,0.5,0.125,0.5,0.375,0.,0.625,0.125,0.25,0.25,0.25,0.25,0.,0.5,0.375,0.25,0.25,0.625,0.25,0.5,0.25,1.,0.5,0.75,0.375,0.25,0.125,0.,0.125,0.625,0.5,0.25,0.,0.375,0.125,0.125,0.125,0.625,0.375,0.375,0.375]</t>
  </si>
  <si>
    <t>[0.2,0.4,1.,0.2,0.2,0.6,0.2,0.4,0.4,0.2,0.2,0.4,0.4,0.4,0.4,0.2,0.4,0.4,0.4,0.2,1.,0.2,0.4,0.4,0.2,0.2,0.6,1.,0.2,0.6,0.2,0.2,0.4,0.2,0.6,0.6,1.,0.2,0.6,1.,0.2,0.2,0.6,0.6,0.2,0.2,0.2,0.4,0.4,0.4,0.4,0.4,0.2,0.6,0.6,0.2,0.4,0.4,0.6,1.,0.4,0.4,0.2,0.6,0.2,0.2,0.2,0.2,0.,0.2,0.4,0.4,0.4,0.6,0.6,0.4,0.4,0.2,0.6,0.4,0.2,0.4,0.4,0.4,0.4,0.4,0.2,0.4,0.4,0.2,0.2,0.4,0.2,0.,0.4,0.,0.2,0.6,0.2,1.,0.2,0.6,0.4,0.2,0.,1.,0.4,0.2,0.6,0.4,0.4,0.4,0.4,0.2,0.2,0.4,0.4,0.4,0.2,0.4,0.2,0.,0.4,0.4,0.4,0.4,0.2,0.,0.6,0.2,0.2,0.4,0.,0.6,0.2,0.2,0.4,0.2,0.4,0.4,0.,0.6,0.4,0.,0.2,0.2,0.6,0.2,0.6,0.2,0.,0.4,1.,0.2,0.2,0.2,0.4,0.6,0.6,0.6,0.6,0.,0.2,0.2,1.,0.4,0.6,0.4,0.4,0.2,0.4,0.4,0.2,0.,0.2,0.6,0.2,0.4,0.,0.4,0.4,0.4,0.4,0.2,0.2,0.2,0.2,0.2,0.,0.4,0.2,0.2,0.,0.4,0.2,0.2,0.2,0.,0.4,0.4]</t>
  </si>
  <si>
    <t>[0.6,1.,0.4,0.2,0.4,0.6,0.2,0.2,0.6,0.4,0.4,0.2,0.6,0.4,1.,0.2,0.4,0.4,0.2,0.6,0.6,0.4,1.,0.6,0.,0.2,0.6,0.4,0.6,0.2,0.4,0.4,0.4,0.2,0.4,1.,0.2,0.,0.2,0.2,0.4,0.2,0.4,0.4,0.4,0.6,0.6,0.2,0.6,0.4,0.4,0.,0.6,0.4,0.4,0.2,0.,0.,0.6,1.,0.,0.4,0.4,1.,0.2,0.4,0.6,0.2,0.4,1.,0.6,0.2,0.2,0.2,0.4,0.6,0.4,0.4,0.2,0.4,0.2,0.2,0.6,0.4,1.,0.4,1.,0.6,1.,0.2,0.2,0.2,0.6,0.2,0.6,0.4,0.2,0.6,0.4,0.2,0.2,1.,0.6,0.2,0.4,0.6,0.4,1.,0.4,0.4,0.2,0.2,1.,0.4,0.4,0.4,0.4,0.2,0.,1.,0.2,0.6,1.,0.6,0.6,0.,0.4,0.4,0.6,0.2,0.2,1.,0.6,0.6,1.,0.4,0.2,0.2,0.2,0.,0.4,0.2,0.6,0.6,1.,0.4,0.6,0.2,0.6,0.6,0.4,0.2,0.6,0.2,0.2,0.2,0.4,1.,0.2,0.6,0.6,0.6,0.4,0.4,0.6,0.6,0.4,1.,0.4,0.2,0.6,0.4,0.4,1.,0.4,0.2,0.2,0.2,0.6,0.4,0.6,0.4,0.6,0.2,0.6,0.4,0.6,0.4,1.,0.6,0.,0.4,0.6,1.,1.,0.4,0.6,0.4,0.4,1.]</t>
  </si>
  <si>
    <t>[0.25,0.,0.,0.25,0.,0.,0.25,0.5,0.,0.,0.25,0.5,1.,0.5,0.25,0.,0.25,0.,0.,0.,0.,0.5,0.25,0.,0.25,0.25,0.25,0.25,0.,0.,0.5,0.,1.,0.,0.25,0.,0.,0.25,0.,0.5,0.,0.,0.,0.,0.5,0.,0.25,0.5,1.,0.5,0.25,0.25,0.,0.25,0.25,0.,0.,0.,0.,0.25,0.,0.,0.25,0.,0.,0.,0.,0.25,0.25,0.,0.,0.5,0.25,0.25,0.5,0.,0.5,0.,0.25,0.,0.5,0.,0.,0.5,0.25,0.,0.,0.25,0.5,0.75,0.,0.25,0.25,0.,0.,0.,0.5,0.,0.5,0.25,0.,0.5,0.,0.,0.75,0.5,1.,0.,0.5,0.,0.,0.5,0.75,0.25,0.25,0.,0.,0.,0.,0.25,0.,0.25,0.25,0.,0.,0.25,0.25,0.25,0.25,0.5,0.,0.25,0.25,0.,0.,0.,0.,0.25,0.,0.,0.,0.5,0.,0.,0.25,0.,0.25,0.25,0.25,0.,0.25,0.25,1.,0.,0.25,0.5,0.25,0.25,1.,0.25,0.,0.5,0.,0.,0.25,0.,0.5,0.25,0.75,0.25,0.,0.5,0.25,0.,0.25,0.25,0.,0.25,0.25,0.,0.25,0.25,0.,0.25,0.5,0.25,0.25,0.,0.25,0.5,0.,0.,0.25,0.25,0.,1.,0.,0.25]</t>
  </si>
  <si>
    <t>[1.,0.5,0.25,0.5,0.25,0.75,0.75,0.75,0.,0.25,0.5,0.25,1.,0.75,0.5,0.5,0.75,0.,1.,0.5,0.,0.75,0.25,0.5,0.5,0.75,0.,0.5,0.5,0.5,0.5,0.5,0.5,0.75,0.5,0.25,0.75,0.5,0.5,1.,0.5,0.,0.25,0.5,0.25,1.,0.25,0.25,1.,0.5,0.25,0.5,0.25,0.5,0.5,0.,0.75,0.25,0.5,0.25,0.5,0.75,0.5,0.25,0.25,0.75,0.25,0.5,0.,0.5,0.25,0.75,0.5,0.5,0.5,0.5,0.25,0.75,0.25,0.5,0.25,0.25,0.,0.75,0.75,0.25,0.5,0.75,0.5,0.5,0.75,0.5,0.5,0.,0.5,0.25,0.5,0.25,0.5,0.5,0.25,0.5,0.5,0.5,0.5,1.,0.75,1.,0.25,0.5,0.5,0.25,0.25,0.75,0.,0.5,0.25,0.,0.,0.75,0.25,0.5,0.5,0.25,1.,0.5,0.5,0.75,1.,0.5,0.5,0.5,0.5,0.25,0.25,0.5,0.75,0.25,0.5,0.5,0.25,0.5,0.25,0.5,0.5,0.25,0.75,0.25,0.,0.5,0.5,0.75,0.75,0.5,1.,0.25,1.,0.5,0.25,0.75,0.75,0.25,0.5,0.5,0.75,0.5,0.25,0.75,0.25,0.5,0.5,0.25,0.25,0.5,0.25,0.75,0.5,0.5,0.75,0.,0.25,0.5,0.75,0.75,0.5,0.5,0.5,0.25,0.5,0.5,0.5,0.5,1.,0.,0.5,0.5,0.25,1.,0.75,0.5]</t>
  </si>
  <si>
    <t>[0.6,0.4,0.,0.,0.4,0.2,0.4,0.2,0.4,0.2,0.4,0.2,0.2,0.,0.4,0.4,0.2,0.,0.,0.6,0.2,0.4,0.2,0.6,0.4,0.2,0.2,0.4,0.2,0.,0.4,0.4,0.4,0.4,0.,0.4,0.2,0.6,0.2,1.,0.2,0.2,0.2,0.,0.4,0.2,0.2,0.4,0.4,0.2,0.,0.,0.4,0.2,0.4,0.4,0.4,0.4,0.4,0.2,0.,0.6,0.,0.2,0.2,0.,0.2,0.6,0.4,0.4,0.2,0.2,0.,0.2,0.2,0.,0.,0.6,0.,0.4,0.,0.2,0.,0.,0.4,0.4,1.,0.4,0.4,0.6,0.,0.,0.2,0.4,0.,0.6,0.2,0.4,0.6,0.2,0.6,0.2,0.2,0.4,0.2,0.4,0.,0.4,0.2,1.,0.,0.2,0.,0.4,0.,0.6,0.2,0.,0.,0.,0.2,0.,0.,0.4,0.2,0.,0.2,0.2,0.4,0.2,0.2,0.2,0.4,0.2,0.,0.6,0.2,0.,0.4,0.2,0.4,0.2,0.4,0.2,0.4,0.2,0.6,0.,0.,0.4,1.,0.,0.6,0.,0.,0.,0.2,0.4,0.4,0.4,0.4,0.,0.,0.4,0.,0.2,0.2,0.,0.2,0.,0.,0.4,0.6,0.4,0.4,0.2,0.6,0.2,0.6,0.2,0.,0.,0.4,0.,0.4,0.6,0.,0.6,0.2,0.2,0.6,0.,0.,0.2,0.2,0.6,0.4,0.2,0.6]</t>
  </si>
  <si>
    <t>[0.6,0.4,0.4,1.,0.4,0.4,0.4,0.4,0.2,0.4,0.4,0.4,0.4,0.6,1.,0.6,0.4,0.4,0.6,0.6,0.4,0.4,0.4,0.6,0.4,1.,0.6,0.4,0.2,0.4,1.,0.6,0.4,0.2,0.4,0.4,0.6,0.4,0.4,0.2,0.4,0.4,0.4,0.4,1.,0.6,0.2,0.4,0.6,0.6,0.4,0.4,0.2,1.,0.6,0.6,0.4,0.6,0.6,0.6,0.4,0.6,0.4,0.6,0.4,0.4,0.4,1.,0.4,0.4,0.2,0.6,1.,0.4,0.6,0.6,0.2,0.6,0.4,1.,0.4,0.4,0.,0.4,1.,1.,0.6,0.4,0.2,0.6,1.,0.,1.,0.6,0.2,1.,0.4,0.6,0.4,0.4,0.6,0.6,0.6,1.,0.4,0.6,0.4,0.6,0.4,0.4,0.4,0.4,0.6,0.6,0.4,0.6,0.2,0.4,0.6,0.2,0.4,0.2,0.4,0.4,0.6,0.4,0.4,0.4,0.6,0.4,0.4,0.2,0.4,0.2,0.4,0.6,0.4,0.2,0.4,0.6,0.6,0.4,0.4,0.6,0.4,0.4,0.6,0.2,0.6,0.4,0.4,0.4,0.6,0.6,0.4,0.4,0.4,0.6,1.,0.4,1.,0.2,0.4,0.4,0.4,0.4,0.6,0.,0.,0.4,0.2,0.6,1.,0.6,0.2,0.4,0.6,0.6,0.4,1.,0.4,0.4,0.6,0.6,0.6,0.4,0.4,0.6,0.6,0.4,0.4,0.4,0.6,0.4,0.6,0.4,0.6,0.6,0.8,0.6]</t>
  </si>
  <si>
    <t>[0.33333333,1.,1.,0.16666667,0.16666667,0.66666667,0.33333333,0.16666667,0.33333333,0.,0.16666667,0.16666667,0.66666667,0.66666667,0.,0.16666667,0.,1.,1.,0.16666667,0.16666667,1.,0.33333333,0.83333333,0.5,0.33333333,0.,1.,0.33333333,0.16666667,0.16666667,0.33333333,1.,0.16666667,0.66666667,1.,0.33333333,0.,0.33333333,0.33333333,0.5,0.,0.16666667,0.16666667,0.16666667,0.33333333,0.16666667,1.,0.16666667,0.,0.66666667,0.33333333,0.,1.,0.16666667,0.33333333,0.16666667,0.33333333,1.,0.33333333,0.66666667,0.33333333,1.,0.33333333,0.33333333,0.5,0.,0.16666667,0.66666667,0.16666667,0.16666667,0.33333333,0.16666667,0.16666667,1.,0.66666667,0.,1.,0.5,1.,0.5,0.5,0.,1.,0.16666667,0.16666667,1.,1.,0.16666667,1.,0.83333333,0.33333333,0.,0.16666667,0.33333333,0.33333333,0.16666667,0.33333333,1.,0.5,0.33333333,1.,0.5,0.33333333,0.33333333,0.33333333,0.33333333,1.,1.,0.16666667,0.5,0.,0.66666667,1.,1.,0.33333333,0.33333333,0.16666667,0.5,0.16666667,0.33333333,0.66666667,0.5,0.83333333,1.,0.66666667,0.33333333,0.33333333,0.33333333,1.,0.16666667,1.,0.16666667,0.16666667,0.16666667,0.66666667,1.,1.,0.66666667,1.,0.66666667,0.33333333,0.33333333,0.66666667,0.33333333,0.33333333,1.,0.,1.,0.33333333,0.5,0.5,1.,1.,0.33333333,0.16666667,1.,1.,0.33333333,0.66666667,1.,0.66666667,0.33333333,0.66666667,0.16666667,0.33333333,1.,0.33333333,0.5,0.16666667,0.16666667,0.33333333,1.,0.33333333,0.33333333,0.33333333,0.5,0.33333333,0.66666667,0.,1.,0.5,0.5,0.66666667,0.33333333,0.33333333,0.16666667,0.33333333,1.,1.,1.,0.16666667,1.,0.5,0.33333333,0.33333333,0.,0.66666667,0.33333333,0.]</t>
  </si>
  <si>
    <t>[1.,1.,1.,0.16666667,0.33333333,0.83333333,0.,1.,1.,0.,0.5,0.,1.,1.,1.,0.,0.33333333,1.,0.33333333,0.33333333,1.,0.5,0.33333333,0.,0.16666667,0.16666667,0.16666667,1.,0.16666667,0.33333333,0.5,0.16666667,0.33333333,0.16666667,0.33333333,0.5,0.66666667,0.16666667,0.66666667,0.16666667,0.33333333,0.,0.5,1.,0.,1.,1.,1.,0.16666667,0.,1.,1.,0.33333333,0.66666667,0.33333333,0.16666667,1.,0.33333333,1.,0.33333333,0.33333333,1.,1.,0.33333333,0.,0.5,1.,0.,0.33333333,0.33333333,0.16666667,0.,0.33333333,0.16666667,1.,1.,0.16666667,0.66666667,0.16666667,0.33333333,1.,0.16666667,0.33333333,0.33333333,1.,1.,0.33333333,1.,0.5,1.,0.66666667,0.33333333,0.,1.,0.5,0.33333333,0.16666667,0.5,1.,0.16666667,0.16666667,0.33333333,1.,0.33333333,0.33333333,0.33333333,0.33333333,1.,1.,0.33333333,1.,0.,0.5,1.,1.,0.,0.66666667,0.66666667,1.,1.,0.33333333,1.,0.16666667,0.83333333,1.,0.66666667,0.,0.16666667,0.33333333,0.33333333,0.33333333,0.66666667,0.33333333,0.33333333,0.16666667,0.33333333,1.,0.66666667,0.,0.5,1.,0.16666667,0.66666667,0.33333333,0.66666667,0.,1.,0.,1.,1.,0.16666667,0.5,0.66666667,0.,0.16666667,0.,1.,0.16666667,0.83333333,1.,0.5,0.66666667,0.66666667,0.5,1.,0.,0.33333333,1.,0.16666667,0.16666667,0.16666667,0.33333333,1.,0.5,0.33333333,0.5,0.66666667,1.,1.,0.66666667,0.33333333,0.83333333,0.,0.33333333,0.33333333,0.33333333,1.,0.83333333,0.66666667,1.,0.33333333,0.,0.5,0.33333333,0.16666667,0.,0.66666667,0.5,1.,0.33333333]</t>
  </si>
  <si>
    <t>[0.25,0.,0.125,0.,1.,0.5,0.625,0.25,0.,0.125,0.,0.125,1.,0.25,0.625,0.25,0.375,0.,0.,0.,0.125,0.,0.,0.5,0.,0.25,0.,0.,0.125,0.,0.25,0.25,0.25,0.75,0.,0.125,0.75,0.,0.,0.375,0.,0.125,0.5,0.375,0.125,0.25,0.,0.,0.,0.,0.,0.,1.,0.375,0.,0.375,0.25,0.125,0.375,0.625,0.125,0.25,0.,0.125,0.,0.375,0.375,0.125,0.25,0.125,0.125,0.125,0.125,0.25,1.,1.,0.,0.,0.,0.,0.,0.,0.,0.25,0.625,0.25,0.25,0.125,0.75,0.25,0.75,0.,0.125,0.25,0.,0.25,0.,0.25,0.25,0.25,0.,0.625,0.25,0.75,0.25,0.125,0.125,0.125,0.,0.25,0.,0.,0.,0.375,0.,0.125,0.,0.125,0.,0.125,0.5,0.,0.125,0.75,0.125,0.5,0.,1.,0.375,0.,0.,0.,1.,0.5,0.125,0.125,1.,0.,0.25,0.125,0.25,0.25,0.25,0.,0.,1.,0.375,0.,0.,0.125,0.125,0.25,0.25,0.625,0.25,0.375,0.125,0.25,0.125,0.125,1.,0.125,0.5,0.375,0.,0.25,0.125,0.25,0.,0.,0.25,0.375,0.,0.125,0.,0.25,0.,0.25,0.,0.5,0.25,0.,0.375,0.625,0.375,0.125,0.125,0.75,0.125,0.5,0.25,0.25,0.25,0.,0.25,0.375,0.25,0.625,0.125,0.25,0.2,0.4,1.,0.2,0.2,0.6,0.2,0.4,0.4,0.2,0.2,0.4,0.4,0.4,0.4,0.2,0.4,0.4,0.4,0.2,1.,0.2,0.4,0.4,0.2,0.2,0.6,1.,0.2,0.6,0.2,0.2,0.4,0.2,0.6,0.6,1.,0.2,0.6,1.,0.2,0.2,0.6,0.6,0.2,0.2,0.2,0.4,0.4,0.4,0.4,0.4,0.2,0.6,0.6,0.2,0.4,0.4,0.6,1.,0.4,0.4,0.2,0.6,0.2,0.2,0.2,0.2,0.,0.2,0.4,0.4,0.4,0.6,0.6,0.4,0.4,0.2,0.6,0.4,0.2,0.4,0.4,0.4,0.4,0.4,0.2,0.4,0.4,0.2,0.2,0.4,0.2,0.,0.4,0.,0.2,0.6,0.2,1.,0.2,0.6,0.4,0.2,0.,1.,0.4,0.2,0.6,0.4,0.4,0.4,0.4,0.2,0.2,0.4,0.4,0.4,0.2,0.4,0.2,0.,0.4,0.4,0.4,0.4,0.2,0.,0.6,0.2,0.2,0.4,0.,0.6,0.2,0.2,0.4,0.2,0.4,0.4,0.,0.6,0.4,0.,0.2,0.2,0.6,0.2,0.6,0.2,0.,0.4,1.,0.2,0.2,0.2,0.4,0.6,0.6,0.6,0.6,0.,0.2,0.2,1.,0.4,0.6,0.4,0.4,0.2,0.4,0.4,0.2,0.,0.2,0.6,0.2,0.4,0.,0.4,0.4,0.4,0.4,0.2,0.2,0.2,0.2,0.2,0.,0.4,0.2,0.2,0.,0.4,0.2,0.2,0.2,0.,0.4,0.4,0.25,0.,0.,0.25,0.,0.,0.25,0.5,0.,0.,0.25,0.5,1.,0.5,0.25,0.,0.25,0.,0.,0.,0.,0.5,0.25,0.,0.25,0.25,0.25,0.25,0.,0.,0.5,0.,1.,0.,0.25,0.,0.,0.25,0.,0.5,0.,0.,0.,0.,0.5,0.,0.25,0.5,1.,0.5,0.25,0.25,0.,0.25,0.25,0.,0.,0.,0.,0.25,0.,0.,0.25,0.,0.,0.,0.,0.25,0.25,0.,0.,0.5,0.25,0.25,0.5,0.,0.5,0.,0.25,0.,0.5,0.,0.,0.5,0.25,0.,0.,0.25,0.5,0.75,0.,0.25,0.25,0.,0.,0.,0.5,0.,0.5,0.25,0.,0.5,0.,0.,0.75,0.5,1.,0.,0.5,0.,0.,0.5,0.75,0.25,0.25,0.,0.,0.,0.,0.25,0.,0.25,0.25,0.,0.,0.25,0.25,0.25,0.25,0.5,0.,0.25,0.25,0.,0.,0.,0.,0.25,0.,0.,0.,0.5,0.,0.,0.25,0.,0.25,0.25,0.25,0.,0.25,0.25,1.,0.,0.25,0.5,0.25,0.25,1.,0.25,0.,0.5,0.,0.,0.25,0.,0.5,0.25,0.75,0.25,0.,0.5,0.25,0.,0.25,0.25,0.,0.25,0.25,0.,0.25,0.25,0.,0.25,0.5,0.25,0.25,0.,0.25,0.5,0.,0.,0.25,0.25,0.,1.,0.,0.25,0.6,0.4,0.,0.,0.4,0.2,0.4,0.2,0.4,0.2,0.4,0.2,0.2,0.,0.4,0.4,0.2,0.,0.,0.6,0.2,0.4,0.2,0.6,0.4,0.2,0.2,0.4,0.2,0.,0.4,0.4,0.4,0.4,0.,0.4,0.2,0.6,0.2,1.,0.2,0.2,0.2,0.,0.4,0.2,0.2,0.4,0.4,0.2,0.,0.,0.4,0.2,0.4,0.4,0.4,0.4,0.4,0.2,0.,0.6,0.,0.2,0.2,0.,0.2,0.6,0.4,0.4,0.2,0.2,0.,0.2,0.2,0.,0.,0.6,0.,0.4,0.,0.2,0.,0.,0.4,0.4,1.,0.4,0.4,0.6,0.,0.,0.2,0.4,0.,0.6,0.2,0.4,0.6,0.2,0.6,0.2,0.2,0.4,0.2,0.4,0.,0.4,0.2,1.,0.,0.2,0.,0.4,0.,0.6,0.2,0.,0.,0.,0.2,0.,0.,0.4,0.2,0.,0.2,0.2,0.4,0.2,0.2,0.2,0.4,0.2,0.,0.6,0.2,0.,0.4,0.2,0.4,0.2,0.4,0.2,0.4,0.2,0.6,0.,0.,0.4,1.,0.,0.6,0.,0.,0.,0.2,0.4,0.4,0.4,0.4,0.,0.,0.4,0.,0.2,0.2,0.,0.2,0.,0.,0.4,0.6,0.4,0.4,0.2,0.6,0.2,0.6,0.2,0.,0.,0.4,0.,0.4,0.6,0.,0.6,0.2,0.2,0.6,0.,0.,0.2,0.2,0.6,0.4,0.2,0.6,0.33333333,1.,1.,0.16666667,0.16666667,0.66666667,0.33333333,0.16666667,0.33333333,0.,0.16666667,0.16666667,0.66666667,0.66666667,0.,0.16666667,0.,1.,1.,0.16666667,0.16666667,1.,0.33333333,0.83333333,0.5,0.33333333,0.,1.,0.33333333,0.16666667,0.16666667,0.33333333,1.,0.16666667,0.66666667,1.,0.33333333,0.,0.33333333,0.33333333,0.5,0.,0.16666667,0.16666667,0.16666667,0.33333333,0.16666667,1.,0.16666667,0.,0.66666667,0.33333333,0.,1.,0.16666667,0.33333333,0.16666667,0.33333333,1.,0.33333333,0.66666667,0.33333333,1.,0.33333333,0.33333333,0.5,0.,0.16666667,0.66666667,0.16666667,0.16666667,0.33333333,0.16666667,0.16666667,1.,0.66666667,0.,1.,0.5,1.,0.5,0.5,0.,1.,0.16666667,0.16666667,1.,1.,0.16666667,1.,0.83333333,0.33333333,0.,0.16666667,0.33333333,0.33333333,0.16666667,0.33333333,1.,0.5,0.33333333,1.,0.5,0.33333333,0.33333333,0.33333333,0.33333333,1.,1.,0.16666667,0.5,0.,0.66666667,1.,1.,0.33333333,0.33333333,0.16666667,0.5,0.16666667,0.33333333,0.66666667,0.5,0.83333333,1.,0.66666667,0.33333333,0.33333333,0.33333333,1.,0.16666667,1.,0.16666667,0.16666667,0.16666667,0.66666667,1.,1.,0.66666667,1.,0.66666667,0.33333333,0.33333333,0.66666667,0.33333333,0.33333333,1.,0.,1.,0.33333333,0.5,0.5,1.,1.,0.33333333,0.16666667,1.,1.,0.33333333,0.66666667,1.,0.66666667,0.33333333,0.66666667,0.16666667,0.33333333,1.,0.33333333,0.5,0.16666667,0.16666667,0.33333333,1.,0.33333333,0.33333333,0.33333333,0.5,0.33333333,0.66666667,0.,1.,0.5,0.5,0.66666667,0.33333333,0.33333333,0.16666667,0.33333333,1.,1.,1.,0.16666667,1.,0.5,0.33333333,0.33333333,0.,0.66666667,0.33333333,0.]</t>
  </si>
  <si>
    <t>[0.5,0.,0.375,0.75,0.375,0.125,0.625,0.,0.375,0.5,0.25,0.125,0.125,0.375,0.5,1.,0.75,0.125,0.,0.75,0.25,0.125,0.,0.375,0.25,0.625,0.75,0.625,0.5,0.25,0.375,0.375,0.625,0.5,0.25,0.,0.5,0.625,0.125,0.75,0.625,0.,0.125,0.25,0.25,0.25,0.5,0.,0.25,0.625,0.5,0.,0.5,0.5,0.25,0.5,0.375,0.5,0.25,0.25,0.125,0.25,0.75,0.125,0.375,0.125,0.125,0.625,0.,0.25,0.5,0.375,0.5,0.,0.75,0.5,0.5,0.5,0.625,0.5,0.5,0.,0.375,0.375,0.75,0.25,0.25,0.25,0.625,0.125,0.625,0.,0.25,0.25,0.,0.25,0.375,0.75,0.,0.25,0.375,0.5,0.375,0.375,0.25,0.,0.625,0.25,0.,0.,0.,0.5,0.25,0.5,0.25,0.125,0.,0.125,0.,0.,0.25,0.,0.25,0.75,0.375,0.5,0.625,0.75,0.5,0.25,0.75,0.25,0.5,0.5,0.5,0.375,0.625,0.,0.625,0.25,0.25,0.125,0.25,0.5,0.,0.125,0.125,0.375,0.,0.5,0.25,0.25,0.25,0.5,0.5,0.,0.375,0.,0.375,0.75,0.5,0.125,0.5,0.375,0.,0.625,0.125,0.25,0.25,0.25,0.25,0.,0.5,0.375,0.25,0.25,0.625,0.25,0.5,0.25,1.,0.5,0.75,0.375,0.25,0.125,0.,0.125,0.625,0.5,0.25,0.,0.375,0.125,0.125,0.125,0.625,0.375,0.375,0.375,0.6,1.,0.4,0.2,0.4,0.6,0.2,0.2,0.6,0.4,0.4,0.2,0.6,0.4,1.,0.2,0.4,0.4,0.2,0.6,0.6,0.4,1.,0.6,0.,0.2,0.6,0.4,0.6,0.2,0.4,0.4,0.4,0.2,0.4,1.,0.2,0.,0.2,0.2,0.4,0.2,0.4,0.4,0.4,0.6,0.6,0.2,0.6,0.4,0.4,0.,0.6,0.4,0.4,0.2,0.,0.,0.6,1.,0.,0.4,0.4,1.,0.2,0.4,0.6,0.2,0.4,1.,0.6,0.2,0.2,0.2,0.4,0.6,0.4,0.4,0.2,0.4,0.2,0.2,0.6,0.4,1.,0.4,1.,0.6,1.,0.2,0.2,0.2,0.6,0.2,0.6,0.4,0.2,0.6,0.4,0.2,0.2,1.,0.6,0.2,0.4,0.6,0.4,1.,0.4,0.4,0.2,0.2,1.,0.4,0.4,0.4,0.4,0.2,0.,1.,0.2,0.6,1.,0.6,0.6,0.,0.4,0.4,0.6,0.2,0.2,1.,0.6,0.6,1.,0.4,0.2,0.2,0.2,0.,0.4,0.2,0.6,0.6,1.,0.4,0.6,0.2,0.6,0.6,0.4,0.2,0.6,0.2,0.2,0.2,0.4,1.,0.2,0.6,0.6,0.6,0.4,0.4,0.6,0.6,0.4,1.,0.4,0.2,0.6,0.4,0.4,1.,0.4,0.2,0.2,0.2,0.6,0.4,0.6,0.4,0.6,0.2,0.6,0.4,0.6,0.4,1.,0.6,0.,0.4,0.6,1.,1.,0.4,0.6,0.4,0.4,1.,1.,0.5,0.25,0.5,0.25,0.75,0.75,0.75,0.,0.25,0.5,0.25,1.,0.75,0.5,0.5,0.75,0.,1.,0.5,0.,0.75,0.25,0.5,0.5,0.75,0.,0.5,0.5,0.5,0.5,0.5,0.5,0.75,0.5,0.25,0.75,0.5,0.5,1.,0.5,0.,0.25,0.5,0.25,1.,0.25,0.25,1.,0.5,0.25,0.5,0.25,0.5,0.5,0.,0.75,0.25,0.5,0.25,0.5,0.75,0.5,0.25,0.25,0.75,0.25,0.5,0.,0.5,0.25,0.75,0.5,0.5,0.5,0.5,0.25,0.75,0.25,0.5,0.25,0.25,0.,0.75,0.75,0.25,0.5,0.75,0.5,0.5,0.75,0.5,0.5,0.,0.5,0.25,0.5,0.25,0.5,0.5,0.25,0.5,0.5,0.5,0.5,1.,0.75,1.,0.25,0.5,0.5,0.25,0.25,0.75,0.,0.5,0.25,0.,0.,0.75,0.25,0.5,0.5,0.25,1.,0.5,0.5,0.75,1.,0.5,0.5,0.5,0.5,0.25,0.25,0.5,0.75,0.25,0.5,0.5,0.25,0.5,0.25,0.5,0.5,0.25,0.75,0.25,0.,0.5,0.5,0.75,0.75,0.5,1.,0.25,1.,0.5,0.25,0.75,0.75,0.25,0.5,0.5,0.75,0.5,0.25,0.75,0.25,0.5,0.5,0.25,0.25,0.5,0.25,0.75,0.5,0.5,0.75,0.,0.25,0.5,0.75,0.75,0.5,0.5,0.5,0.25,0.5,0.5,0.5,0.5,1.,0.,0.5,0.5,0.25,1.,0.75,0.5,0.6,0.4,0.4,1.,0.4,0.4,0.4,0.4,0.2,0.4,0.4,0.4,0.4,0.6,1.,0.6,0.4,0.4,0.6,0.6,0.4,0.4,0.4,0.6,0.4,1.,0.6,0.4,0.2,0.4,1.,0.6,0.4,0.2,0.4,0.4,0.6,0.4,0.4,0.2,0.4,0.4,0.4,0.4,1.,0.6,0.2,0.4,0.6,0.6,0.4,0.4,0.2,1.,0.6,0.6,0.4,0.6,0.6,0.6,0.4,0.6,0.4,0.6,0.4,0.4,0.4,1.,0.4,0.4,0.2,0.6,1.,0.4,0.6,0.6,0.2,0.6,0.4,1.,0.4,0.4,0.,0.4,1.,1.,0.6,0.4,0.2,0.6,1.,0.,1.,0.6,0.2,1.,0.4,0.6,0.4,0.4,0.6,0.6,0.6,1.,0.4,0.6,0.4,0.6,0.4,0.4,0.4,0.4,0.6,0.6,0.4,0.6,0.2,0.4,0.6,0.2,0.4,0.2,0.4,0.4,0.6,0.4,0.4,0.4,0.6,0.4,0.4,0.2,0.4,0.2,0.4,0.6,0.4,0.2,0.4,0.6,0.6,0.4,0.4,0.6,0.4,0.4,0.6,0.2,0.6,0.4,0.4,0.4,0.6,0.6,0.4,0.4,0.4,0.6,1.,0.4,1.,0.2,0.4,0.4,0.4,0.4,0.6,0.,0.,0.4,0.2,0.6,1.,0.6,0.2,0.4,0.6,0.6,0.4,1.,0.4,0.4,0.6,0.6,0.6,0.4,0.4,0.6,0.6,0.4,0.4,0.4,0.6,0.4,0.6,0.4,0.6,0.6,0.8,0.6,1.,1.,1.,0.16666667,0.33333333,0.83333333,0.,1.,1.,0.,0.5,0.,1.,1.,1.,0.,0.33333333,1.,0.33333333,0.33333333,1.,0.5,0.33333333,0.,0.16666667,0.16666667,0.16666667,1.,0.16666667,0.33333333,0.5,0.16666667,0.33333333,0.16666667,0.33333333,0.5,0.66666667,0.16666667,0.66666667,0.16666667,0.33333333,0.,0.5,1.,0.,1.,1.,1.,0.16666667,0.,1.,1.,0.33333333,0.66666667,0.33333333,0.16666667,1.,0.33333333,1.,0.33333333,0.33333333,1.,1.,0.33333333,0.,0.5,1.,0.,0.33333333,0.33333333,0.16666667,0.,0.33333333,0.16666667,1.,1.,0.16666667,0.66666667,0.16666667,0.33333333,1.,0.16666667,0.33333333,0.33333333,1.,1.,0.33333333,1.,0.5,1.,0.66666667,0.33333333,0.,1.,0.5,0.33333333,0.16666667,0.5,1.,0.16666667,0.16666667,0.33333333,1.,0.33333333,0.33333333,0.33333333,0.33333333,1.,1.,0.33333333,1.,0.,0.5,1.,1.,0.,0.66666667,0.66666667,1.,1.,0.33333333,1.,0.16666667,0.83333333,1.,0.66666667,0.,0.16666667,0.33333333,0.33333333,0.33333333,0.66666667,0.33333333,0.33333333,0.16666667,0.33333333,1.,0.66666667,0.,0.5,1.,0.16666667,0.66666667,0.33333333,0.66666667,0.,1.,0.,1.,1.,0.16666667,0.5,0.66666667,0.,0.16666667,0.,1.,0.16666667,0.83333333,1.,0.5,0.66666667,0.66666667,0.5,1.,0.,0.33333333,1.,0.16666667,0.16666667,0.16666667,0.33333333,1.,0.5,0.33333333,0.5,0.66666667,1.,1.,0.66666667,0.33333333,0.83333333,0.,0.33333333,0.33333333,0.33333333,1.,0.83333333,0.66666667,1.,0.33333333,0.,0.5,0.33333333,0.16666667,0.,0.66666667,0.5,1.,0.33333333]</t>
  </si>
  <si>
    <t>Fig4F_Sim_Unseen_DistShift_Progress_Scaling</t>
  </si>
  <si>
    <t>[0.125,0.,0.,0.,0.,0.25,0.125,0.,0.,0.125,0.,0.125,0.,0.25,0.125,0.125,0.,0.,0.,0.25,0.125,0.,0.,0.125,0.,0.125,0.,0.125,0.,0.375,0.25,0.25,0.125,0.125,0.,0.,0.,0.125,0.,0.,0.,0.,0.,0.,0.,0.,0.125,0.125,0.,0.125,0.,0.,0.125,0.25,0.125,0.,0.,0.25,0.25,0.125,0.125,0.,0.,0.125,0.125,0.125,0.,0.25,0.,0.,0.,0.125,0.,0.,0.,0.,0.,0.,0.,0.,0.125,0.,0.,0.25,0.125,0.25,0.125,0.125,0.,0.125,0.25,0.125,0.125,0.5,0.25,0.25,0.,0.25,0.375,0.,0.125,0.125,0.125,0.25,0.,0.,0.,0.,0.,0.125,0.,0.,0.,0.125,0.,0.125,0.125,0.,0.,0.,0.25,0.,0.,0.,0.125,0.,0.125,0.,0.,0.,0.125,0.125,0.,0.,0.25,0.,0.125,0.,0.375,0.125,0.125,0.,0.,0.,0.,0.,0.125,0.,0.125,0.,0.,0.,0.125,0.125,0.125,0.,0.,0.,0.25,0.,0.125,0.,0.,0.25,0.125,0.125,0.125,0.,0.,0.125,0.,0.,0.125,0.125,0.,0.,0.,0.125,0.,0.125,0.,0.,0.125,0.,0.25,0.,0.,0.125,0.,0.125,0.125,0.,0.125,0.,0.125,0.,0.,0.,0.,0.25,0.,0.,0.2,0.2,0.2,0.,0.,0.2,0.,0.,0.,0.2,0.2,0.,0.,0.,0.2,0.2,0.,0.,0.,0.2,0.,0.2,0.,0.2,0.,0.2,0.2,0.,0.,0.,0.,0.,0.2,0.2,0.,0.,0.,0.,0.2,0.,0.,0.,0.,0.2,0.,0.2,0.,0.,0.2,0.,0.2,0.,0.,0.,0.,0.,0.,0.,0.,0.,0.,0.2,0.2,0.,0.,0.,0.2,0.,0.,0.,0.,0.,0.,0.2,0.2,0.,0.,0.,0.,0.,0.,0.,0.,0.,0.,0.,0.,0.,0.2,0.,0.,0.,0.,0.,0.,0.2,0.,0.,0.2,0.,0.2,0.,0.2,0.,0.2,0.,0.,0.,0.,0.,0.,0.2,0.,0.,0.,0.,0.,0.,0.,0.2,0.,0.,0.2,0.4,0.2,0.,0.2,0.,0.,0.2,0.,0.2,0.2,0.,0.2,0.,0.,0.,0.,0.,0.,0.,0.,0.2,0.,0.,0.,0.2,0.,0.,0.2,0.,0.,0.,0.,0.,0.,0.,0.2,0.,0.,0.,0.,0.,0.2,0.,0.,0.,0.2,0.,0.,0.,0.,0.,0.,0.2,0.,0.2,0.,0.2,0.,0.,0.2,0.,0.2,0.,0.,0.2,0.,0.,0.,0.,0.,0.,0.,0.,0.,0.,0.,0.,0.25,0.,0.,0.,0.,0.,0.,0.,0.,0.,0.,0.,0.,0.,0.,0.25,0.,0.,0.,0.,0.25,0.25,0.25,0.,0.,0.,0.,0.25,0.,0.,0.,0.,0.,0.,0.,0.,0.,0.,0.,0.,0.,0.,0.,0.,0.,0.,0.,0.,0.,0.,0.25,0.25,0.,0.,0.,0.,0.,0.,0.,0.,0.,0.25,0.,0.,0.25,0.25,0.,0.,0.,0.5,0.,0.,0.25,0.,0.25,0.,0.,0.,0.25,0.,0.,0.,0.,0.,0.25,0.,0.,0.,0.,0.,0.,0.,0.,0.,0.,0.,0.,0.,0.,0.,0.,0.,0.,0.,0.,0.,0.,0.,0.25,0.,0.5,0.,0.,0.,0.,0.,0.,0.,0.,0.,0.,0.25,0.,0.,0.25,0.,0.,0.,0.,0.,0.,0.,0.,0.5,0.25,0.,0.25,0.,0.,0.,0.25,0.,0.,0.,0.,0.,0.,0.,0.,0.,0.25,0.,0.25,0.,0.,0.25,0.,0.25,0.,0.25,0.,0.,0.,0.,0.,0.,0.,0.,0.,0.,0.,0.25,0.,0.,0.5,0.,0.,0.,0.,0.,0.,0.,0.,0.,0.,0.25,0.,0.5,0.,0.25,0.,0.,0.,0.25,0.,0.,0.25,0.,0.2,0.,0.2,0.,0.4,0.,0.2,0.,0.,0.2,0.,0.,0.2,0.,0.,0.,0.,0.2,0.2,0.,0.,0.,0.,0.2,0.4,0.,0.,0.,0.,0.,0.2,0.2,0.,0.,0.,0.2,0.,0.,0.,0.,0.,0.,0.,0.,0.2,0.2,0.,0.,0.,0.,0.,0.2,0.2,0.2,0.,0.,0.4,0.4,0.,0.,0.,0.,0.2,0.,0.,0.,0.,0.,0.,0.,0.,0.,0.,0.4,0.,0.2,0.,0.2,0.,0.,0.,0.2,0.,0.2,0.4,0.2,0.2,0.,0.2,0.,0.2,0.4,0.2,0.2,0.,0.,0.,0.,0.,0.,0.,0.4,0.,0.,0.2,0.2,0.,0.6,0.,0.,0.,0.2,0.,0.2,0.,0.,0.,0.,0.,0.,0.,0.,0.2,0.,0.,0.2,0.,0.,0.,0.,0.,0.,0.,0.4,0.2,0.,0.2,0.,0.2,0.,0.2,0.2,0.,0.2,0.2,0.,0.2,0.2,0.,0.,0.2,0.4,0.2,0.,0.,0.2,0.2,0.,0.2,0.,0.2,0.4,0.,0.,0.,0.,0.,0.2,0.2,0.,0.,0.4,0.2,0.2,0.,0.2,0.,0.,0.,0.,0.2,0.,0.4,0.,0.4,0.,0.2,0.,0.2,0.,0.2,0.,0.,0.,0.4,0.2,0.,0.2,0.,0.16666667,0.,0.,0.,0.,0.,0.,0.5,0.,0.,0.,0.16666667,0.,0.,0.,0.,0.33333333,0.,0.16666667,0.,0.,0.,0.,0.,0.16666667,0.,0.16666667,0.,0.16666667,0.,0.16666667,0.16666667,0.,0.,0.16666667,0.,0.,0.33333333,0.16666667,0.,0.,0.66666667,0.16666667,0.,0.,0.33333333,0.,0.16666667,0.,0.,0.,0.16666667,0.16666667,0.,0.,0.16666667,0.16666667,0.16666667,0.16666667,0.16666667,0.,0.16666667,0.,0.,0.16666667,0.16666667,0.16666667,0.16666667,0.16666667,0.,0.,0.,0.,0.,0.16666667,0.16666667,0.,0.,0.16666667,0.,0.,0.,0.16666667,0.16666667,0.33333333,0.,0.16666667,0.,0.16666667,0.,0.33333333,0.16666667,0.16666667,0.16666667,0.,0.,0.,0.,0.16666667,0.,0.,0.,0.,0.16666667,0.16666667,0.,0.,0.,0.16666667,0.16666667,0.,0.,0.16666667,0.16666667,0.,0.,0.,0.,0.16666667,0.,0.16666667,0.,0.16666667,0.,0.16666667,0.,0.,0.,0.16666667,0.,0.,0.,0.16666667,0.,0.,0.16666667,0.16666667,0.,0.16666667,0.,0.,0.,0.,0.16666667,0.,0.,0.,0.16666667,0.16666667,0.,0.,0.,0.,0.,0.,0.,0.,0.,0.16666667,0.,0.16666667,0.,0.,0.16666667,0.,0.,0.16666667,0.,0.,0.16666667,0.33333333,0.,0.16666667,0.,0.16666667,0.,0.16666667,0.,0.,0.,0.,0.,0.16666667,0.33333333,0.,0.16666667,0.16666667,0.,0.,0.16666667,0.,0.16666667,0.,0.16666667,0.,0.16666667,0.16666667,0.,0.]</t>
  </si>
  <si>
    <t>[0.25,0.125,0.,0.,0.125,0.375,0.125,0.,0.,0.,0.,0.,0.125,0.125,0.,0.,0.25,0.,0.,0.,0.125,0.,0.,0.,0.,0.,0.125,0.,0.,0.,0.,0.,0.125,0.,0.,0.125,0.75,0.,0.,0.,0.,0.,0.,0.375,0.,0.,0.,0.,0.375,0.,0.,0.,0.5,0.,0.25,0.,0.125,0.25,0.5,0.125,0.125,0.,0.,0.,0.25,0.,0.,0.,0.,0.,0.,0.,0.,0.,0.25,0.,0.,0.,0.,0.,0.25,0.,0.125,0.125,0.125,0.,0.25,0.125,0.125,0.125,0.125,0.,0.,0.,0.,0.125,0.,0.,0.25,0.,0.,0.375,0.125,0.25,0.,0.,0.,0.,0.,0.,0.375,0.,0.125,0.,0.,0.125,0.,0.,0.,0.,0.,0.,0.,0.125,0.,0.25,0.,0.,0.,0.125,0.,0.,0.,0.,0.,0.,0.25,0.,0.25,0.125,0.125,0.,0.,0.,0.,0.125,0.125,0.125,0.,0.,0.25,0.,0.125,0.25,0.25,0.,0.125,0.,0.25,0.,0.125,0.5,0.125,0.,0.,0.,0.,0.,0.,0.25,0.,0.,0.,0.25,0.125,0.,0.,0.,0.,0.125,0.25,0.,0.125,0.,0.,0.25,0.,0.125,0.125,0.,0.125,0.125,0.25,0.,0.,0.,0.,0.,0.,0.25,0.,0.,0.2,0.,0.2,0.2,0.2,0.4,0.2,0.,0.2,0.,0.,0.2,0.,0.,0.2,0.,0.2,0.2,0.,0.4,0.,0.,0.,0.,0.4,0.2,0.4,0.2,0.,0.,0.,0.2,0.,0.2,0.,0.,0.2,0.4,0.2,0.2,0.2,0.2,0.,0.2,0.,0.,0.2,0.,0.2,0.,0.2,0.2,0.2,0.4,0.2,0.2,0.6,0.,0.2,0.4,0.,0.2,0.2,0.2,0.2,0.2,0.2,0.2,0.,0.,0.2,0.,0.2,0.,0.2,0.2,0.,0.4,0.,0.2,0.2,0.4,0.4,0.,0.,0.,0.2,0.2,0.4,0.2,0.,0.2,0.,0.2,0.2,0.4,0.,0.2,0.2,0.2,0.2,0.4,0.2,0.,0.2,0.,0.6,0.2,0.2,0.,0.2,0.2,0.,0.2,0.2,0.,0.2,0.2,0.2,0.,0.2,0.2,0.,0.,0.,0.2,0.4,0.,0.2,0.,0.2,0.2,0.,0.,0.,0.,0.,0.,0.,0.2,0.2,0.4,0.4,0.,0.,0.,0.,0.,0.4,0.2,0.,0.,0.2,0.2,0.4,0.2,0.2,0.4,0.,0.2,0.,0.2,0.2,0.,0.2,0.6,0.,0.,0.,0.,0.2,0.2,0.,0.2,0.,0.,0.,0.4,0.2,0.6,0.,0.,0.,0.2,0.,0.2,0.,0.,0.2,0.,0.,0.2,0.,0.,0.,0.,0.,0.,0.,0.,0.,0.25,0.,0.,0.,0.25,0.,0.,0.,0.,0.,0.,0.,0.,0.,0.,0.,0.,0.25,0.,0.,0.,0.,0.25,0.,0.,0.,0.,0.,0.,0.,0.,0.,0.,0.,0.,0.,0.,0.25,0.,0.25,0.25,0.,0.25,0.,0.25,0.,0.,0.25,0.25,0.25,0.,0.,0.,0.25,0.,0.,0.,0.,0.,0.,0.,0.,0.25,0.,0.25,0.,0.,0.,0.,0.,0.,0.,0.25,0.,0.,0.,0.25,0.,0.,0.25,0.,0.25,0.,0.,0.,0.25,0.,0.,0.,0.,0.,0.,0.5,0.,0.,0.,0.,0.,0.,0.,0.,0.,0.,0.,0.25,0.,0.,0.,0.,0.25,0.25,0.,0.,0.,0.,0.25,0.,0.,0.,0.,0.,0.,0.,0.,0.,0.,0.,0.,0.,0.,0.,0.,0.,0.,0.,0.,0.,0.,0.25,0.25,0.,0.,0.,0.,0.,0.,0.,0.,0.,0.,0.25,0.,0.,0.,0.,0.25,0.,0.,0.,0.,0.,0.,0.25,0.,0.,0.25,0.,0.,0.,0.,0.25,0.,0.25,0.,0.,0.,0.,0.,0.,0.,0.,0.,0.25,0.,0.25,0.,0.,0.,0.,0.,0.25,0.,0.25,0.,0.,0.,0.,0.,0.,0.,0.,0.,0.4,0.,0.,0.2,0.2,0.2,0.2,0.,0.,0.,0.2,0.,0.2,0.,0.2,0.,0.,0.,0.,0.2,0.,0.,0.,0.,0.2,0.,0.,0.2,0.,0.2,0.2,0.6,0.,0.4,0.,0.2,0.2,0.,0.4,0.,0.,0.2,0.,0.2,0.,0.,0.,0.,0.,0.2,0.,0.,0.4,0.,0.,0.2,0.,0.,0.,0.,0.,0.2,0.,0.,0.,0.2,0.,0.,0.2,0.2,0.,0.2,0.,0.2,0.,0.,0.,0.,0.4,0.2,0.,0.,0.,0.2,0.,0.,0.,0.,0.2,0.2,0.,0.,0.,0.,0.2,0.,0.,0.,0.,0.2,0.2,0.2,0.2,1.,0.,0.,0.,0.4,0.,0.2,0.,0.,0.,0.,0.,0.,0.,0.2,0.,0.,0.,0.,0.,0.,0.,0.,0.2,0.,0.,0.4,0.2,0.,0.2,0.,0.2,0.,0.,0.2,0.,0.2,0.,0.,0.,0.,0.,0.,0.4,0.2,0.,0.,0.,0.,0.,0.,0.2,0.,0.,0.,0.,0.2,0.,0.,0.,0.,0.,0.,0.,0.,0.,0.,0.,0.,0.2,0.,0.,0.,0.,0.2,0.,0.2,0.,0.2,0.2,0.,0.4,0.2,0.,0.,0.,0.,0.,0.4,0.2,0.2,0.5,0.33333333,0.5,0.,0.16666667,0.33333333,0.,0.33333333,0.33333333,0.,0.16666667,0.,0.5,0.66666667,0.,0.,0.,0.33333333,0.33333333,0.,0.16666667,0.5,0.33333333,0.,0.33333333,0.16666667,0.,0.66666667,0.16666667,0.33333333,0.16666667,0.33333333,0.16666667,0.,0.33333333,0.33333333,0.16666667,0.,0.16666667,0.33333333,0.16666667,0.,0.,0.,0.,0.33333333,0.,0.16666667,0.33333333,0.,0.33333333,0.5,0.16666667,0.33333333,0.,0.,0.,0.66666667,0.33333333,0.33333333,0.33333333,0.33333333,0.16666667,0.16666667,0.,0.66666667,0.,0.,0.33333333,0.16666667,0.,0.,0.16666667,0.33333333,0.16666667,0.16666667,0.,0.33333333,0.16666667,0.16666667,0.33333333,0.33333333,0.,0.33333333,0.16666667,0.33333333,0.16666667,0.33333333,0.,0.66666667,0.16666667,0.33333333,0.33333333,0.16666667,0.33333333,0.16666667,0.,0.33333333,0.33333333,0.,0.,0.33333333,0.16666667,0.33333333,0.33333333,0.33333333,0.66666667,0.5,0.66666667,0.,0.66666667,0.,0.5,0.66666667,0.33333333,0.,0.33333333,0.33333333,0.,0.16666667,0.16666667,0.33333333,0.,0.33333333,0.16666667,0.16666667,0.,0.33333333,0.33333333,0.33333333,0.16666667,1.,0.33333333,0.,0.16666667,0.33333333,0.66666667,0.66666667,0.16666667,0.16666667,0.5,0.16666667,0.16666667,0.33333333,0.33333333,0.16666667,0.16666667,0.,0.33333333,0.16666667,0.16666667,0.16666667,0.16666667,0.,0.5,0.,0.33333333,0.,0.16666667,0.,0.,0.33333333,0.16666667,0.5,0.,0.,0.66666667,0.33333333,0.16666667,0.,0.33333333,0.16666667,0.33333333,0.33333333,0.33333333,0.16666667,0.33333333,0.33333333,0.66666667,0.,0.33333333,0.16666667,0.16666667,0.33333333,0.33333333,0.33333333,0.33333333,0.5,0.16666667,0.33333333,0.33333333,0.,0.33333333,0.16666667,0.33333333,0.,0.33333333,0.33333333,0.16666667,0.16666667]</t>
  </si>
  <si>
    <t>[0.375,0.,0.,0.125,0.,0.25,0.375,0.125,0.375,0.375,0.,0.125,0.375,0.25,0.125,0.25,0.125,0.,0.,0.75,0.125,0.,0.,0.25,0.,0.25,0.25,0.5,0.,0.375,0.5,0.25,0.375,0.125,0.5,0.25,0.,0.125,0.5,0.25,0.,0.25,0.125,0.,0.125,0.25,0.,0.125,0.,0.375,0.,0.,0.125,0.5,0.,0.25,0.,0.25,0.25,0.5,0.125,0.25,0.5,0.375,0.375,0.,0.,0.125,0.125,0.25,0.125,0.125,0.5,0.,0.375,0.125,0.125,0.,0.25,0.25,0.,0.,0.,0.625,0.125,0.375,0.25,0.,0.125,0.25,0.5,0.,0.125,0.25,0.,0.,0.,0.75,0.375,0.,0.375,0.5,0.75,0.,0.25,0.,0.625,0.125,0.125,0.,0.,0.375,0.125,0.,0.125,0.125,0.,0.,0.,0.125,0.,0.,0.,0.,0.,0.,0.,0.5,0.5,0.125,0.125,0.125,0.5,0.125,0.125,0.375,0.25,0.,0.5,0.25,0.25,0.,0.25,0.,0.,0.,0.125,0.,0.5,0.125,0.125,0.,0.25,0.25,0.25,0.,0.,0.125,0.125,0.125,0.25,0.,0.125,0.,0.,0.375,0.,0.,0.25,0.125,0.,0.,0.25,0.,0.125,0.25,0.125,0.25,0.,0.25,0.25,0.25,0.125,0.375,0.25,0.,0.25,1.,0.25,0.,0.625,0.375,0.25,0.5,0.25,0.,0.,0.25,0.125,0.5,0.2,0.6,0.4,0.2,0.,0.4,0.2,0.2,0.,0.4,0.2,0.2,0.6,1.,0.4,0.2,0.2,0.2,0.6,0.4,0.2,0.4,0.,0.2,0.,0.2,0.4,0.6,0.6,0.2,0.2,0.,0.2,0.2,0.4,0.2,0.2,0.,0.,0.4,0.2,0.2,0.2,0.4,0.2,0.2,0.6,0.2,0.,0.2,0.2,0.,0.4,0.4,0.2,0.2,0.,0.2,0.6,0.4,0.4,0.6,0.4,0.2,0.,0.,0.4,0.2,0.2,0.4,0.4,0.2,0.2,0.2,0.6,0.2,0.4,0.6,0.2,0.2,0.,0.2,0.2,0.2,0.4,0.4,1.,0.2,0.2,0.2,0.,0.2,0.4,0.2,0.2,0.2,0.2,0.2,0.6,0.,0.4,0.2,0.2,0.2,0.,0.6,0.4,0.2,0.,0.6,0.,0.2,0.2,0.2,0.4,0.,0.2,0.2,0.2,0.4,0.2,0.2,0.6,0.6,0.6,0.2,0.4,0.6,0.4,0.2,0.2,0.2,0.4,0.6,0.2,0.4,0.2,0.2,0.2,0.2,0.2,0.,0.2,0.2,0.,0.,0.4,0.4,0.4,0.,0.4,0.4,0.,0.2,0.2,0.2,0.2,0.2,0.2,0.4,0.6,0.2,0.2,0.2,0.2,0.2,0.2,0.,0.4,0.,0.2,0.6,0.2,0.2,0.,0.2,0.,0.,0.2,0.4,0.6,0.4,0.,0.2,0.6,0.,0.2,0.4,0.4,0.2,0.2,0.2,0.6,0.2,0.,0.2,0.2,0.,0.,0.6,0.5,0.25,0.25,0.25,0.5,0.,0.25,0.5,0.,0.,0.,0.,0.5,0.,0.,0.25,0.25,0.,0.5,0.25,0.,0.5,0.25,0.25,0.25,0.25,0.,0.,0.,0.,0.5,0.,0.25,0.,0.,0.,0.5,0.,0.,0.,0.,0.,0.,0.,0.25,0.5,0.25,0.5,0.5,0.25,0.,0.5,0.,0.25,0.25,0.,0.75,0.,0.,0.,0.5,0.,0.,0.,0.25,0.,0.5,0.25,0.25,0.,0.,0.,0.5,0.,0.,0.25,0.,0.25,0.,0.5,0.,0.5,0.,0.5,0.25,0.,0.,0.,0.,0.5,0.25,0.5,0.,0.,0.5,0.25,0.,0.,0.25,0.25,0.,0.,0.25,0.,0.,1.,0.5,0.25,0.,0.5,0.,0.,0.25,0.5,0.,0.25,0.5,0.,0.,0.5,0.,0.,0.25,0.25,0.5,0.5,0.25,0.25,0.5,0.5,0.5,0.5,0.5,0.,0.,0.25,0.5,0.,0.5,0.25,0.25,0.25,0.,0.5,0.5,0.25,0.25,0.,0.5,0.5,0.5,0.25,0.25,0.5,0.5,0.25,0.5,0.25,0.5,0.,0.5,0.,0.25,0.25,0.25,0.,0.,0.,0.25,0.,0.25,0.,0.,0.5,0.25,0.5,0.,0.5,0.5,0.,0.75,0.,0.,0.25,0.,0.25,0.25,0.75,0.25,0.,0.5,0.25,0.25,0.25,0.5,0.25,0.25,0.5,0.25,0.25,0.4,0.2,0.2,0.4,0.4,0.6,0.4,0.4,0.2,0.2,0.4,0.2,0.4,0.6,0.2,0.4,0.4,0.6,0.2,0.6,0.4,0.2,0.4,0.6,0.6,0.4,0.6,0.4,0.2,0.4,0.6,0.4,0.4,0.4,0.2,0.,0.6,0.2,0.4,0.4,0.,0.2,0.2,0.4,0.4,0.2,0.,0.6,0.4,0.6,0.,0.4,0.2,0.4,0.4,0.2,0.4,0.6,1.,0.4,0.6,0.6,0.4,0.4,0.2,0.4,0.2,0.4,0.4,0.,0.2,0.6,0.2,0.,0.4,0.4,0.4,0.4,0.2,0.6,0.4,0.4,0.2,0.6,0.4,0.4,1.,0.4,0.2,0.6,1.,0.,0.4,0.4,0.2,0.6,0.4,0.4,0.4,0.4,0.4,0.4,0.4,0.6,0.6,0.6,0.6,0.2,0.4,0.6,0.2,0.4,0.4,0.6,0.6,0.4,0.,0.,0.,0.2,0.2,0.2,0.2,0.4,0.6,0.6,0.,0.2,0.,0.4,0.2,0.4,0.4,0.,0.2,0.6,0.6,0.2,0.6,0.4,0.6,0.4,0.4,0.6,0.,0.,0.4,0.2,0.6,0.6,0.,0.6,0.6,0.6,0.4,0.2,0.2,0.6,0.4,0.2,0.4,0.2,0.2,1.,0.2,0.4,0.4,0.4,0.,0.4,0.2,0.2,0.6,0.4,0.6,0.4,0.4,0.4,0.4,0.4,0.6,0.2,0.2,0.2,0.6,0.4,0.4,1.,0.6,0.2,0.6,0.2,0.6,0.4,0.4,0.2,0.4,0.6,0.4,0.4,0.33333333,0.33333333,0.33333333,0.,0.,0.16666667,0.,0.33333333,0.33333333,0.,0.66666667,0.,0.83333333,0.33333333,0.16666667,0.,0.,1.,0.33333333,0.16666667,0.16666667,0.33333333,0.,0.,0.16666667,0.16666667,0.,0.66666667,0.,0.16666667,0.16666667,0.33333333,0.16666667,0.,0.16666667,0.33333333,0.33333333,0.,0.,0.16666667,0.5,0.,0.16666667,0.,0.,0.66666667,0.16666667,0.33333333,0.33333333,0.,0.33333333,0.66666667,0.16666667,0.16666667,0.16666667,0.,0.16666667,0.33333333,0.16666667,0.16666667,0.16666667,0.5,0.16666667,0.16666667,0.,0.5,0.,0.,0.5,0.33333333,0.,0.,0.16666667,0.33333333,0.33333333,0.16666667,0.16666667,0.16666667,0.,0.16666667,0.,0.16666667,0.33333333,0.16666667,0.5,0.16666667,0.66666667,0.33333333,0.33333333,0.33333333,0.,0.16666667,0.33333333,0.,0.5,0.,0.,0.16666667,0.16666667,0.16666667,0.16666667,0.,0.33333333,0.5,0.16666667,0.66666667,0.16666667,0.,0.16666667,0.16666667,0.33333333,0.,0.16666667,0.5,0.33333333,0.,0.16666667,0.,0.33333333,0.16666667,0.,0.16666667,0.33333333,0.5,0.5,0.5,0.,0.16666667,0.33333333,1.,0.,0.33333333,0.33333333,0.33333333,0.,0.16666667,0.66666667,0.33333333,0.16666667,0.16666667,0.66666667,0.16666667,0.16666667,0.5,0.16666667,0.,0.83333333,0.16666667,0.16666667,0.,0.33333333,0.16666667,0.33333333,0.,0.33333333,0.,1.,0.16666667,0.16666667,0.5,0.16666667,0.,0.,0.16666667,0.,0.,0.33333333,0.66666667,0.16666667,0.,0.33333333,0.33333333,0.16666667,0.33333333,0.,0.33333333,0.16666667,0.16666667,0.66666667,0.33333333,0.16666667,0.33333333,0.,0.16666667,0.33333333,0.,0.33333333,0.,0.,0.16666667,0.33333333,0.16666667,0.,0.33333333,0.33333333,0.,0.,0.5,0.,0.]</t>
  </si>
  <si>
    <t>[0.25,0.,0.,0.25,0.25,0.25,0.,0.25,0.125,0.5,0.5,0.,0.,0.,0.25,0.,0.25,0.,0.,0.,0.125,0.375,0.25,0.,0.125,0.,0.,0.,0.,0.25,0.25,0.25,0.125,0.25,0.,0.125,0.25,0.,0.,0.25,0.,0.25,0.,0.,0.125,0.25,0.,0.25,0.125,0.,0.,0.,0.25,0.25,0.125,0.,0.625,0.,0.25,0.,0.125,0.,0.,0.,0.,0.,0.,0.,0.25,0.,0.,0.5,0.,0.125,0.25,0.75,0.,0.,0.,0.,0.,0.,0.,0.125,0.125,0.125,0.,0.,0.25,0.125,0.,0.,0.,0.75,0.25,0.,0.,0.,0.125,0.,0.,0.25,0.25,0.25,0.25,0.,0.5,0.125,0.,0.25,0.,0.,0.125,0.,0.,0.25,0.375,0.,0.,0.,0.,0.,0.125,0.,0.125,0.,0.,0.,0.125,0.25,0.125,0.,0.,0.125,0.,0.125,0.,0.,0.125,0.125,0.25,0.125,0.,0.25,0.,0.,0.375,0.,0.,0.125,0.125,0.,0.25,0.125,0.25,0.25,0.125,0.,0.,0.,0.,0.,0.,0.125,0.,0.125,0.125,0.,0.,0.,0.75,0.5,0.25,0.,0.125,0.125,0.,0.,0.25,0.25,0.,0.,0.125,0.,0.25,0.125,0.,0.25,0.125,0.125,0.25,0.,0.,0.,0.,0.,0.125,0.75,0.,0.,0.,0.2,0.4,0.4,0.2,0.4,0.2,0.2,0.2,0.,0.2,0.2,0.4,1.,0.4,0.2,0.2,0.2,0.2,0.4,0.4,0.2,0.2,0.2,0.,0.2,0.4,0.,0.2,0.,0.,0.2,0.2,0.2,0.2,0.2,0.2,0.2,0.2,0.4,0.6,0.,0.4,0.2,0.2,0.4,0.4,0.,0.,0.,0.4,0.2,0.4,0.4,0.4,0.4,0.4,0.4,0.6,0.6,0.4,0.2,0.2,0.2,0.,0.,0.2,0.2,0.2,0.2,0.2,0.2,0.4,0.2,0.2,0.2,0.4,0.2,0.4,0.,0.2,0.4,0.4,0.6,0.,0.4,0.4,0.4,0.,0.4,0.,0.4,0.6,0.,0.4,0.,1.,0.2,1.,0.2,0.4,0.4,0.4,0.2,1.,0.2,0.4,0.6,0.2,0.,0.2,0.4,0.2,0.2,0.4,0.,0.6,0.4,0.4,0.2,0.2,0.4,0.4,0.4,0.4,0.2,0.,0.4,0.,0.2,0.4,0.4,0.2,0.2,0.2,0.4,0.2,0.2,0.2,0.4,1.,0.2,0.,0.2,0.2,0.4,0.2,0.2,0.2,0.2,0.4,0.2,0.,0.2,0.2,0.2,0.2,0.6,0.4,0.4,0.,0.2,0.2,0.4,0.2,0.6,0.2,0.6,0.,0.4,0.2,0.4,0.4,0.,0.2,0.4,0.6,0.2,0.6,0.,0.6,0.,0.6,0.2,0.4,0.2,0.2,0.4,0.,0.2,0.,0.2,0.2,0.,0.,0.2,0.2,0.4,0.,0.,0.,0.,0.,0.,0.,0.,0.25,0.25,0.,0.,0.,0.,0.5,0.25,0.25,0.25,0.,0.,0.25,0.,0.,0.25,0.,0.,0.,0.25,0.,0.,0.,0.,0.25,0.25,0.,0.,0.,0.,0.,0.,0.,0.,0.,0.25,0.,0.25,0.25,0.,0.25,0.5,0.25,0.,0.,0.25,0.5,0.25,0.,0.25,0.,0.,0.,0.,0.,0.,0.,0.,0.,0.,0.25,0.25,0.,0.,0.25,0.,0.,0.,0.25,0.,0.,0.,0.,0.,0.25,0.,0.,0.5,0.,0.,0.25,0.25,0.5,0.25,0.,0.25,0.,0.,0.,0.,0.25,0.,0.,0.,0.25,0.,0.,0.,0.75,0.,0.25,0.,0.5,0.,0.,0.5,0.75,0.,0.5,0.,0.25,0.25,0.,0.,0.,0.,0.25,0.25,0.,0.,0.,0.5,0.,0.,0.25,0.25,0.,0.25,0.,0.,0.,0.25,0.25,0.25,0.5,0.,0.25,0.,0.,0.,0.,0.25,0.,0.,0.,0.25,0.,0.,0.,0.25,0.25,0.25,0.,0.,0.,0.,0.25,0.25,0.25,0.25,0.,0.,0.,0.25,0.25,0.,0.75,0.25,0.,0.,0.25,0.,0.,0.,0.,0.,0.,0.,0.25,0.5,0.25,0.25,0.,0.,0.25,0.,0.,0.,0.,0.,0.25,0.,0.,0.4,0.2,0.,0.2,0.2,0.,0.4,0.2,0.,0.,0.4,0.2,0.2,0.,0.,0.4,0.2,0.,0.,0.4,0.2,0.2,0.,0.2,0.6,0.2,0.,0.,0.,0.,0.,0.4,0.2,0.,0.4,0.2,0.2,0.6,0.,0.6,0.,0.,0.2,0.2,0.2,0.4,0.2,0.2,0.,0.2,0.,0.,0.,0.2,0.2,0.2,0.4,0.,0.,0.2,0.,0.,0.,0.,0.,0.,0.2,0.,0.,0.2,0.,0.2,0.2,0.,0.2,0.,0.,0.2,0.,0.4,0.2,0.2,0.,0.,0.4,0.,0.,0.4,0.4,0.6,0.4,0.,0.2,0.4,0.2,0.2,0.2,0.,0.,0.,0.,0.2,0.6,0.,0.,0.4,0.,0.2,0.,0.6,0.,0.,0.2,0.4,0.,0.4,0.,0.,0.,0.2,0.,0.,0.2,0.2,0.,0.,0.2,0.,0.2,0.2,0.,0.,0.2,0.,0.,0.2,0.4,0.2,0.2,0.2,0.,0.2,0.2,0.,0.,0.2,0.2,0.,0.2,0.,0.4,0.2,0.4,0.,0.2,0.2,0.2,0.2,0.4,0.,0.,0.2,0.,0.6,0.,0.2,0.,0.,0.,0.2,0.,0.,0.2,0.2,0.6,0.2,0.,0.2,0.4,0.4,0.,0.,0.2,0.,0.,0.6,0.2,0.2,0.,0.,0.4,0.2,0.2,0.,0.,0.,0.2,0.2,0.2,0.4,0.33333333,1.,0.33333333,0.16666667,0.16666667,0.33333333,0.,0.16666667,0.,0.,0.16666667,0.16666667,1.,0.66666667,0.16666667,0.,0.,1.,1.,0.33333333,0.16666667,0.33333333,0.5,1.,0.33333333,0.16666667,0.16666667,1.,0.16666667,0.16666667,0.16666667,0.33333333,0.33333333,0.16666667,1.,0.16666667,0.33333333,0.16666667,0.16666667,0.33333333,0.16666667,0.16666667,0.16666667,0.16666667,0.,0.16666667,0.33333333,1.,0.33333333,0.,0.66666667,0.33333333,0.66666667,0.33333333,0.33333333,0.16666667,0.16666667,0.33333333,0.66666667,0.33333333,0.33333333,0.33333333,1.,0.16666667,0.16666667,0.66666667,0.,0.,0.16666667,0.16666667,0.,0.16666667,0.16666667,0.16666667,1.,0.16666667,0.,0.5,0.33333333,0.66666667,1.,0.33333333,0.33333333,0.16666667,0.16666667,0.33333333,0.33333333,1.,0.16666667,0.33333333,0.66666667,0.16666667,1.,0.16666667,0.33333333,0.66666667,0.16666667,0.33333333,1.,0.33333333,0.16666667,0.66666667,0.16666667,0.66666667,0.,0.33333333,0.16666667,0.83333333,0.66666667,0.16666667,1.,0.16666667,0.33333333,1.,1.,0.33333333,1.,0.33333333,0.66666667,0.33333333,0.16666667,0.16666667,1.,0.33333333,0.33333333,0.16666667,0.33333333,0.33333333,0.16666667,1.,0.16666667,1.,0.16666667,0.,0.33333333,0.66666667,1.,1.,0.,0.33333333,0.33333333,0.33333333,0.33333333,0.33333333,0.33333333,0.16666667,0.66666667,0.,1.,0.33333333,0.16666667,1.,1.,0.16666667,0.33333333,0.16666667,1.,0.33333333,0.16666667,0.33333333,0.16666667,0.66666667,0.16666667,0.66666667,0.16666667,0.16666667,0.33333333,0.16666667,0.5,0.,0.33333333,0.16666667,0.5,0.33333333,0.33333333,0.33333333,0.66666667,0.16666667,0.66666667,0.16666667,0.33333333,0.33333333,0.33333333,0.5,0.33333333,0.33333333,0.33333333,0.33333333,1.,0.16666667,0.16666667,0.,1.,0.33333333,0.33333333,0.,1.,0.33333333,0.,0.16666667]</t>
  </si>
  <si>
    <t>[0.5,0.375,0.,0.625,0.5,0.75,0.625,0.625,0.,0.75,0.,0.625,0.5,0.5,0.25,0.625,0.25,0.125,0.5,0.5,0.375,0.25,0.125,0.625,0.375,0.375,0.25,0.5,0.5,0.,0.75,0.25,0.625,0.5,0.625,0.625,0.375,0.75,0.25,0.25,0.5,0.125,0.,0.375,0.375,0.25,0.5,0.25,0.25,0.375,0.,0.125,0.25,0.25,0.25,0.5,0.125,0.75,0.25,0.25,0.375,0.5,0.,0.,0.,0.25,0.25,0.25,0.,0.,0.25,0.625,0.5,0.,0.625,0.,0.5,0.5,0.5,0.75,0.,0.,0.5,0.375,0.25,0.25,0.375,0.25,0.75,0.25,0.25,0.5,0.125,0.125,0.,0.25,0.125,0.625,0.,0.125,0.125,0.25,0.25,0.25,0.125,0.25,0.,0.375,0.25,0.25,0.25,0.5,0.25,0.,0.5,0.375,0.25,0.,0.25,0.375,0.,0.,0.125,0.625,0.5,0.,0.375,0.75,0.,0.25,0.125,0.625,0.5,0.5,0.5,0.375,0.,0.125,0.5,0.25,0.125,0.5,0.375,0.,0.,0.5,0.25,0.125,0.,0.5,0.5,0.25,0.75,0.625,0.25,0.125,0.125,0.,0.625,0.25,0.5,0.,0.375,0.75,0.,0.625,0.125,0.25,0.625,0.125,0.375,0.375,0.5,0.125,0.25,0.25,0.25,0.25,0.5,0.25,0.25,0.25,0.,0.625,0.25,0.25,0.,1.,0.25,0.375,0.375,0.375,0.5,0.,0.,0.25,0.25,0.25,0.125,0.125,0.2,0.2,0.4,0.2,0.2,1.,0.4,0.,0.6,0.4,0.2,0.4,0.2,0.4,0.6,0.6,0.4,0.4,0.4,0.6,0.4,0.4,0.2,0.4,0.2,0.4,0.6,0.4,0.4,0.4,0.6,0.6,0.4,0.4,0.4,0.6,0.6,0.2,0.4,0.2,0.2,0.2,0.6,0.2,0.4,0.4,0.4,0.4,0.4,0.4,0.2,0.,0.,0.6,0.2,0.4,0.,0.6,0.4,0.6,0.2,0.6,0.4,0.6,0.2,0.4,0.4,0.2,0.4,0.6,0.4,0.2,0.4,0.6,0.4,0.6,0.4,0.2,0.4,0.4,0.2,0.2,0.,0.4,0.6,0.6,0.6,0.4,0.6,0.4,0.2,0.2,0.6,0.,0.2,0.2,0.2,0.6,0.4,0.4,0.2,0.4,0.2,0.6,0.2,1.,0.6,0.4,0.4,0.4,0.,0.,0.6,0.6,0.2,0.,0.6,0.2,0.4,1.,0.4,0.4,1.,0.4,0.4,0.,0.6,0.,0.4,0.4,0.2,0.2,0.2,0.4,0.6,0.2,0.6,0.4,0.2,0.2,0.2,0.2,0.,0.6,0.,0.4,0.4,0.2,0.4,0.4,0.2,0.4,0.6,0.2,0.6,0.2,0.6,1.,0.2,0.4,0.4,0.2,0.6,0.4,0.2,0.6,0.6,0.4,0.4,0.,0.,0.6,0.2,0.6,0.4,0.4,0.2,0.,0.4,0.4,0.6,0.4,0.4,0.4,0.6,0.6,0.4,0.2,0.6,0.6,0.,0.,0.4,0.4,0.6,0.4,0.4,0.2,0.4,1.,1.,0.,0.5,0.5,0.5,0.5,0.5,0.75,0.5,0.25,0.,0.,0.5,1.,0.5,0.5,0.5,0.5,1.,0.25,0.25,0.75,0.5,0.5,0.25,1.,0.25,0.5,0.5,0.5,0.25,0.,0.25,0.,0.5,0.,0.,0.,0.25,0.75,0.25,0.,0.25,0.5,0.5,0.75,0.,0.5,0.5,0.5,0.25,0.25,0.25,0.25,0.75,0.,1.,0.5,0.75,0.25,0.5,0.75,0.,0.5,0.25,0.75,0.75,0.5,0.5,0.,0.,0.,0.25,0.25,0.5,0.25,0.5,0.75,0.,0.25,0.,0.25,0.,0.75,0.75,0.25,0.75,0.25,0.5,0.25,0.75,0.25,0.25,0.25,0.5,0.25,0.5,0.5,0.25,1.,0.25,0.5,0.5,0.5,0.,1.,1.,0.5,0.25,0.5,0.,0.5,1.,0.25,0.,0.5,0.25,0.25,0.25,0.25,0.25,0.25,0.,0.5,1.,1.,0.5,0.5,0.75,0.5,0.25,0.75,0.5,0.25,0.5,0.,1.,0.,0.5,0.5,0.25,0.5,0.25,0.5,0.5,0.5,1.,0.25,1.,0.75,0.5,0.5,0.5,0.25,0.5,0.5,1.,0.5,0.25,1.,0.25,0.25,0.25,0.75,0.25,0.25,0.,0.5,0.25,0.25,0.5,0.25,0.25,0.,0.5,0.25,0.25,0.5,0.75,0.,0.25,0.5,0.25,0.25,0.25,0.25,0.5,0.5,0.5,0.5,0.5,0.5,0.5,0.5,0.5,0.25,0.75,0.25,0.5,0.5,0.6,0.4,0.4,0.6,0.6,0.4,0.6,0.6,0.2,0.6,0.4,0.2,0.4,0.6,0.2,0.4,0.4,0.4,0.6,0.6,0.6,0.4,0.4,0.4,0.6,0.6,0.6,0.4,0.4,0.2,0.6,0.2,0.6,0.2,0.2,0.2,0.4,0.6,0.6,0.2,0.4,0.2,0.4,0.2,0.4,0.6,0.6,0.6,0.6,0.4,0.2,0.6,0.2,1.,0.6,0.6,0.4,0.6,0.6,0.4,0.4,0.2,0.6,0.4,0.6,0.6,0.4,0.6,0.6,0.4,0.6,0.4,0.4,0.,0.2,0.4,0.,0.6,0.6,1.,0.4,0.2,0.,0.6,0.4,1.,1.,0.2,1.,0.6,0.6,0.,0.6,0.2,0.4,1.,0.6,0.4,0.4,0.4,0.4,0.6,0.6,0.6,0.4,0.2,0.4,0.4,0.2,0.6,0.4,0.4,0.4,0.6,0.6,0.6,0.2,0.2,0.,0.2,0.4,0.2,0.2,0.4,1.,0.6,0.4,0.2,0.2,0.4,0.4,0.4,1.,0.2,0.4,0.6,0.6,0.2,0.4,0.4,0.6,0.4,0.4,0.4,0.6,0.6,0.2,0.4,0.6,0.4,0.2,0.6,0.4,0.4,0.4,0.4,0.4,0.6,0.6,0.2,0.4,0.2,0.4,0.6,0.,0.6,1.,0.4,0.,0.4,0.6,0.2,0.4,0.4,0.4,0.2,0.4,0.6,0.6,0.4,0.6,0.4,0.2,0.6,0.6,0.4,0.4,1.,0.6,0.4,1.,0.4,0.4,0.4,0.6,0.6,0.6,0.4,0.4,0.6,1.,1.,1.,0.,0.16666667,0.33333333,0.,0.5,0.5,0.,0.33333333,0.,0.66666667,0.66666667,0.5,0.,0.33333333,0.5,0.33333333,0.16666667,0.66666667,0.33333333,0.16666667,0.,0.33333333,0.,0.,1.,0.,0.66666667,0.33333333,0.33333333,0.16666667,0.5,1.,0.33333333,1.,0.16666667,0.33333333,0.5,0.16666667,0.,0.,0.5,0.,1.,0.33333333,0.33333333,0.5,0.,0.66666667,0.33333333,0.16666667,0.83333333,0.83333333,0.16666667,1.,0.33333333,1.,0.33333333,1.,1.,1.,0.16666667,0.,0.33333333,0.,0.,0.33333333,0.33333333,0.,0.,0.16666667,0.33333333,0.83333333,0.33333333,0.16666667,0.33333333,0.66666667,0.83333333,0.16666667,0.33333333,0.66666667,1.,1.,1.,1.,1.,0.33333333,0.16666667,0.,0.16666667,0.83333333,0.16666667,0.,0.83333333,1.,1.,0.33333333,0.33333333,0.33333333,1.,0.33333333,0.66666667,0.33333333,1.,0.66666667,0.,0.,0.83333333,0.5,0.16666667,0.33333333,0.16666667,0.83333333,0.33333333,0.33333333,0.,0.83333333,0.33333333,0.16666667,0.33333333,1.,0.16666667,0.5,0.66666667,0.33333333,0.33333333,0.5,0.16666667,0.33333333,0.33333333,0.,0.33333333,0.,1.,0.,0.33333333,1.,0.33333333,0.,0.66666667,0.,1.,0.16666667,1.,0.66666667,1.,0.16666667,0.5,0.,0.5,0.33333333,0.,0.,1.,0.33333333,0.33333333,0.16666667,0.16666667,0.33333333,0.66666667,1.,0.33333333,0.16666667,1.,1.,0.16666667,0.5,1.,1.,0.33333333,0.16666667,0.5,0.33333333,0.,1.,0.16666667,0.,0.66666667,0.,0.16666667]</t>
  </si>
  <si>
    <t>Fig6_HW_Unseen_Nominal_Progress</t>
  </si>
  <si>
    <t>SetBreakfastTable</t>
  </si>
  <si>
    <t>LBM Finetuned 15%</t>
  </si>
  <si>
    <t>[0.58333333,0.91666667,0.91666667,0.41666667,0.91666667,0.5,0.33333333,0.41666667,0.66666667,0.16666667,0.5,0.83333333,0.83333333,0.66666667,0.83333333,0.41666667,0.75,0.83333333,0.5,0.,0.91666667,0.5,0.25,0.5,0.75,0.58333333,0.91666667,0.83333333,0.66666667,0.91666667,0.5,0.66666667,0.83333333,0.66666667,0.58333333,0.41666667,0.66666667,0.75,0.83333333,0.5,0.75,0.66666667,0.83333333,0.83333333,0.5,0.91666667,0.58333333,0.41666667,0.41666667,0.75]</t>
  </si>
  <si>
    <t>LBM Finetuned 50%</t>
  </si>
  <si>
    <t>[0.91666667,0.91666667,0.91666667,0.91666667,1.,0.91666667,0.66666667,0.75,0.83333333,1.,0.83333333,0.91666667,0.91666667,1.,1.,0.83333333,1.,1.,1.,0.83333333,0.41666667,0.83333333,0.83333333,0.75,1.,0.91666667,0.33333333,1.,0.83333333,0.58333333,1.,0.41666667,0.5,0.41666667,0.83333333,0.58333333,0.91666667,0.5,1.,0.91666667,0.83333333,0.91666667,1.,1.,1.,0.91666667,0.75,0.83333333,0.25,0.91666667]</t>
  </si>
  <si>
    <t>Fig7_Sim_Unseen_Nominal_Progress_Scaling</t>
  </si>
  <si>
    <t>LBM finetuned [TRI-Ramen-25%]</t>
  </si>
  <si>
    <t>[0.,0.,0.,0.125,0.125,0.125,0.,0.,0.,0.125,0.,0.,0.,0.,0.,0.125,0.,0.,0.,0.125,0.125,0.,0.,0.,0.,0.125,0.,0.,0.125,0.,0.,0.,0.125,0.,0.,0.,0.,0.125,0.,0.,0.,0.,0.,0.,0.,0.,0.,0.,0.,0.125,0.,0.,0.,0.,0.,0.,0.125,0.,0.25,0.,0.125,0.,0.125,0.,0.,0.5,0.,0.125,0.,0.,0.,0.,0.,0.,0.,0.,0.,0.,0.125,0.,0.,0.,0.,0.125,0.125,0.125,0.5,0.,0.,0.,0.125,0.,0.125,0.375,0.,0.125,0.,0.25,0.,0.125,0.,0.,0.,0.125,0.,0.125,0.,0.,0.,0.,0.125,0.,0.,0.,0.,0.125,0.,0.,0.,0.,0.,0.,0.,0.125,0.,0.,0.,0.125,0.,0.,0.,0.25,0.,0.125,0.,0.25,0.125,0.,0.125,0.125,0.,0.125,0.125,0.,0.,0.125,0.,0.,0.,0.125,0.,0.,0.125,0.25,0.,0.,0.,0.125,0.,0.375,0.,0.,0.,0.,0.,0.,0.,0.,0.,0.25,0.,0.,0.125,0.125,0.,0.,0.125,0.25,0.125,0.125,0.,0.,0.,0.,0.125,0.125,0.,0.,0.125,0.,0.125,0.125,0.,0.,0.,0.,0.,0.,0.125,0.25,0.2,0.2,0.,0.,0.,0.,0.,0.2,0.,0.2,0.,0.,0.,0.2,0.,0.,0.2,0.,0.,0.,0.,0.2,0.,0.,0.,0.2,0.,0.,0.2,0.,0.,0.,0.,0.,0.,0.,0.,0.,0.,0.,0.2,0.,0.,0.2,0.,0.,0.,0.,0.2,0.,0.,0.,0.,0.,0.,0.,0.,0.,0.,0.2,0.,0.,0.,0.,0.,0.2,0.,0.,0.,0.,0.,0.,0.,0.,0.2,0.,0.,0.,0.,0.,0.,0.,0.,0.,0.,0.,0.,0.,0.2,0.,0.,0.2,0.2,0.,0.,0.,0.,0.,0.,0.,0.2,0.,0.2,0.,0.2,0.,0.2,0.,0.,0.,0.2,0.,0.,0.2,0.2,0.,0.2,0.,0.,0.,0.,0.,0.,0.2,0.2,0.,0.,0.,0.,0.,0.,0.2,0.,0.,0.,0.2,0.2,0.,0.,0.,0.2,0.,0.,0.,0.,0.2,0.,0.,0.2,0.,0.,0.2,0.,0.,0.,0.,0.,0.,0.,0.,0.,0.,0.,0.,0.,0.,0.2,0.2,0.,0.2,0.2,0.,0.,0.,0.,0.2,0.,0.,0.,0.2,0.,0.,0.,0.,0.2,0.2,0.,0.2,0.,0.2,0.,0.,0.,0.,0.,0.,0.,0.,0.,0.,0.,0.,0.,0.,0.,0.,0.,0.,0.,0.,0.,0.,0.,0.,0.,0.,0.,0.,0.,0.,0.,0.,0.,0.,0.,0.,0.,0.,0.,0.,0.,0.,0.,0.,0.,0.,0.,0.,0.,0.,0.,0.,0.,0.,0.,0.,0.,0.25,0.,0.25,0.,0.,0.,0.,0.,0.,0.,0.,0.,0.,0.,0.,0.,0.,0.,0.,0.,0.,0.,0.,0.,0.,0.,0.,0.,0.25,0.,0.,0.,0.,0.,0.,0.,0.,0.,0.,0.,0.,0.,0.,0.,0.,0.,0.,0.,0.,0.,0.,0.,0.,0.,0.,0.,0.,0.,0.,0.,0.25,0.,0.,0.,0.,0.,0.25,0.,0.,0.,0.,0.,0.,0.,0.,0.,0.,0.25,0.,0.,0.,0.,0.,0.25,0.,0.25,0.,0.,0.,0.,0.,0.,0.,0.,0.,0.,0.,0.,0.,0.,0.,0.,0.,0.,0.,0.,0.,0.,0.,0.,0.,0.,0.,0.,0.,0.,0.,0.,0.,0.,0.,0.,0.,0.,0.,0.,0.,0.25,0.,0.,0.,0.,0.,0.,0.,0.25,0.25,0.,0.,0.,0.,0.25,0.,0.,0.,0.,0.,0.,0.,0.,0.,0.,0.,0.,0.,0.,0.2,0.2,0.,0.,0.,0.,0.,0.,0.,0.,0.2,0.2,0.,0.,0.,0.2,0.2,0.2,0.,0.,0.,0.,0.2,0.,0.,0.,0.,0.2,0.,0.,0.,0.,0.,0.,0.2,0.,0.2,0.,0.,0.,0.,0.,0.,0.,0.2,0.,0.2,0.,0.,0.,0.2,0.,0.,0.,0.,0.4,0.,0.,0.,0.2,0.,0.,0.,0.2,0.2,0.,0.,0.,0.,0.,0.,0.2,0.,0.,0.,0.,0.,0.,0.,0.,0.2,0.2,0.,0.4,0.,0.,0.,0.,0.,0.2,0.2,0.,0.2,0.,0.,0.,0.2,0.2,0.2,0.,0.4,0.,0.2,0.,0.2,0.,0.,0.,0.,0.,0.2,0.,0.2,0.,0.,0.,0.,0.,0.,0.,0.,0.,0.,0.,0.2,0.,0.,0.2,0.4,0.2,0.,0.,0.4,0.2,0.,0.,0.2,0.2,0.2,0.2,0.,0.,0.,0.,0.,0.,0.2,0.,0.,0.,0.2,0.,0.,0.,0.2,0.,0.,0.2,0.,0.,0.,0.,0.2,0.,0.,0.,0.,0.,0.,0.,0.2,0.2,0.,0.2,0.,0.2,0.4,0.4,0.,0.,0.2,0.2,0.2,0.,0.,0.2,0.,0.2,0.,0.2,0.,0.,0.,0.,0.2,0.,0.,0.16666667,0.33333333,0.,0.,0.,0.,0.,0.,0.,0.,0.,0.,0.,0.16666667,0.,0.,0.,0.,0.,0.,0.,0.,0.,0.,0.,0.16666667,0.,0.,0.,0.16666667,0.,0.,0.,0.,0.,0.,0.16666667,0.,0.,0.16666667,0.,0.,0.,0.,0.,0.,0.16666667,0.,0.16666667,0.,0.16666667,0.16666667,0.,0.16666667,0.,0.,0.,0.16666667,0.,0.,0.,0.,0.16666667,0.,0.,0.16666667,0.,0.,0.,0.,0.,0.,0.,0.16666667,0.16666667,0.,0.,0.,0.16666667,0.,0.,0.,0.,0.,0.,0.,0.,0.,0.,0.,0.,0.16666667,0.16666667,0.,0.,0.,0.,0.16666667,0.,0.,0.16666667,0.,0.,0.,0.16666667,0.,0.16666667,0.,0.16666667,0.,0.,0.,0.,0.16666667,0.16666667,0.,0.,0.,0.,0.,0.,0.,0.16666667,0.,0.,0.,0.,0.,0.,0.16666667,0.,0.,0.,0.,0.,0.16666667,0.,0.16666667,0.,0.,0.,0.,0.16666667,0.,0.,0.,0.,0.,0.16666667,0.,0.,0.16666667,0.16666667,0.,0.,0.,0.,0.,0.16666667,0.,0.,0.,0.,0.,0.,0.,0.16666667,0.,0.,0.,0.,0.16666667,0.,0.16666667,0.,0.5,0.,0.16666667,0.,0.16666667,0.16666667,0.,0.,0.,0.16666667,0.16666667,0.,0.,0.,0.,0.16666667,0.,0.,0.16666667,0.,0.,0.16666667,0.16666667,0.,0.]</t>
  </si>
  <si>
    <t>LBM finetuned [TRI-Ramen-50%]</t>
  </si>
  <si>
    <t>[0.,0.,0.,0.125,0.,0.,0.,0.125,0.,0.,0.,0.,0.,0.,0.,0.,0.125,0.,0.,0.,0.,0.125,0.,0.125,0.,0.,0.,0.,0.,0.,0.,0.,0.,0.125,0.,0.125,0.,0.,0.,0.,0.,0.125,0.,0.125,0.,0.,0.,0.,0.,0.,0.,0.,0.,0.,0.,0.125,0.,0.125,0.,0.,0.125,0.,0.125,0.,0.,0.375,0.,0.,0.,0.,0.125,0.,0.125,0.,0.,0.125,0.,0.125,0.,0.,0.,0.,0.125,0.125,0.,0.,0.,0.,0.125,0.,0.25,0.,0.,0.25,0.,0.125,0.,0.,0.,0.125,0.125,0.,0.,0.,0.,0.,0.,0.,0.,0.,0.,0.,0.,0.,0.,0.125,0.125,0.,0.,0.,0.,0.,0.,0.,0.,0.,0.,0.,0.,0.25,0.,0.,0.,0.,0.,0.,0.,0.125,0.125,0.,0.,0.,0.,0.,0.,0.,0.125,0.,0.25,0.,0.,0.,0.,0.,0.,0.,0.25,0.,0.,0.,0.,0.,0.,0.,0.,0.,0.,0.,0.,0.,0.125,0.,0.,0.125,0.,0.,0.,0.125,0.,0.,0.,0.125,0.,0.,0.,0.,0.,0.125,0.,0.,0.125,0.,0.,0.,0.,0.125,0.,0.,0.,0.,0.,0.,0.,0.,0.,0.,0.,0.2,0.,0.,0.,0.2,0.,0.,0.2,0.,0.2,0.,0.,0.,0.,0.2,0.,0.,0.,0.,0.,0.,0.,0.,0.2,0.2,0.,0.,0.,0.,0.,0.,0.,0.,0.2,0.2,0.,0.2,0.,0.,0.,0.,0.,0.,0.,0.,0.2,0.,0.,0.,0.,0.,0.,0.,0.,0.,0.,0.,0.,0.,0.2,0.,0.,0.,0.2,0.,0.,0.,0.,0.,0.,0.2,0.,0.2,0.,0.,0.2,0.,0.,0.,0.,0.,0.,0.2,0.,0.,0.,0.,0.,0.,0.,0.,0.,0.,0.,0.,0.,0.,0.,0.,0.,0.,0.,0.,0.,0.,0.,0.,0.,0.,0.,0.,0.,0.,0.,0.,0.,0.,0.2,0.,0.,0.,0.,0.,0.,0.,0.2,0.2,0.,0.,0.,0.2,0.2,0.2,0.,0.,0.,0.,0.2,0.,0.,0.,0.,0.2,0.,0.,0.,0.,0.,0.,0.,0.,0.,0.,0.,0.,0.2,0.,0.,0.2,0.,0.,0.,0.,0.,0.2,0.,0.2,0.,0.,0.,0.,0.2,0.,0.2,0.2,0.,0.,0.,0.,0.,0.,0.,0.,0.,0.,0.,0.,0.,0.,0.,0.,0.,0.,0.,0.,0.,0.,0.,0.,0.,0.,0.,0.,0.,0.,0.,0.,0.,0.,0.,0.,0.,0.,0.,0.,0.,0.,0.,0.,0.,0.,0.,0.,0.,0.,0.,0.,0.,0.,0.,0.,0.,0.,0.,0.,0.,0.,0.,0.,0.,0.,0.,0.,0.,0.,0.,0.,0.25,0.,0.,0.,0.,0.,0.,0.,0.,0.,0.,0.,0.,0.,0.,0.,0.,0.,0.,0.,0.,0.,0.,0.,0.,0.,0.,0.,0.,0.,0.,0.,0.,0.,0.,0.,0.,0.,0.,0.,0.,0.,0.,0.,0.,0.,0.,0.,0.,0.,0.,0.,0.,0.,0.,0.,0.,0.,0.,0.,0.,0.,0.,0.,0.,0.,0.,0.,0.,0.,0.25,0.,0.,0.,0.,0.,0.,0.,0.,0.,0.,0.,0.,0.,0.,0.,0.,0.,0.,0.,0.,0.,0.,0.,0.,0.,0.,0.,0.,0.,0.,0.,0.,0.,0.,0.,0.,0.,0.,0.25,0.,0.,0.,0.,0.,0.,0.,0.,0.,0.,0.,0.,0.,0.,0.,0.,0.,0.,0.,0.,0.,0.,0.,0.,0.,0.,0.,0.,0.,0.,0.,0.,0.5,0.,0.,0.,0.,0.,0.,0.,0.,0.,0.2,0.,0.,0.,0.,0.,0.,0.2,0.,0.,0.,0.,0.,0.,0.,0.,0.,0.,0.,0.2,0.,0.,0.,0.,0.,0.,0.,0.,0.,0.,0.,0.,0.,0.,0.,0.,0.,0.,0.,0.,0.,0.,0.,0.,0.,0.,0.,0.,0.2,0.2,0.,0.,0.,0.,0.,0.,0.2,0.,0.,0.,0.,0.,0.,0.,0.,0.,0.,0.,0.2,0.,0.,0.,0.,0.,0.,0.,0.,0.,0.,0.,0.2,0.,0.,0.,0.,0.,0.,0.,0.,0.,0.,0.2,0.,0.,0.,0.,0.,0.,0.,0.,0.,0.,0.,0.,0.,0.,0.,0.,0.,0.2,0.,0.,0.,0.,0.,0.,0.,0.,0.2,0.,0.,0.,0.,0.,0.,0.,0.,0.,0.,0.,0.,0.,0.,0.,0.,0.,0.,0.,0.,0.,0.,0.,0.,0.,0.,0.,0.,0.,0.,0.,0.2,0.,0.,0.,0.,0.,0.,0.,0.,0.,0.,0.,0.,0.,0.,0.,0.,0.4,0.2,0.,0.,0.,0.,0.,0.,0.,0.,0.,0.,0.,0.,0.,0.,0.,0.,0.,0.2,0.,0.,0.,0.2,0.,0.,0.,0.16666667,0.16666667,0.,0.,0.,0.,0.,0.,0.,0.,0.,0.,0.,0.,0.,0.,0.,0.,0.,0.,0.,0.,0.,0.,0.,0.16666667,0.16666667,0.,0.,0.,0.,0.,0.16666667,0.16666667,0.,0.,0.,0.,0.,0.,0.,0.,0.,0.,0.16666667,0.16666667,0.,0.,0.,0.,0.16666667,0.,0.,0.16666667,0.16666667,0.,0.,0.,0.,0.,0.,0.,0.16666667,0.,0.16666667,0.,0.,0.,0.,0.,0.,0.16666667,0.,0.,0.16666667,0.,0.,0.,0.,0.,0.16666667,0.,0.,0.,0.,0.16666667,0.16666667,0.16666667,0.,0.16666667,0.,0.,0.16666667,0.,0.16666667,0.,0.,0.16666667,0.16666667,0.,0.,0.,0.,0.16666667,0.16666667,0.,0.16666667,0.16666667,0.,0.,0.16666667,0.,0.,0.16666667,0.16666667,0.,0.,0.16666667,0.,0.,0.,0.,0.,0.,0.16666667,0.16666667,0.,0.,0.16666667,0.,0.,0.,0.,0.,0.16666667,0.,0.,0.,0.,0.,0.16666667,0.,0.,0.,0.16666667,0.,0.,0.,0.16666667,0.,0.,0.16666667,0.,0.,0.,0.,0.,0.,0.16666667,0.,0.,0.,0.,0.,0.,0.,0.16666667,0.,0.,0.,0.,0.16666667,0.,0.,0.16666667,0.16666667,0.,0.,0.,0.16666667,0.,0.16666667,0.16666667,0.,0.,0.,0.,0.,0.,0.,0.,0.,0.,0.,0.,0.,0.,0.16666667,0.,0.]</t>
  </si>
  <si>
    <t>LBM finetuned [TRI-Ramen]</t>
  </si>
  <si>
    <t>[0.,0.,0.,0.125,0.125,0.,0.,0.,0.,0.,0.125,0.,0.125,0.,0.,0.125,0.,0.,0.,0.25,0.125,0.,0.,0.,0.,0.,0.,0.,0.,0.125,0.25,0.,0.,0.,0.,0.,0.,0.125,0.125,0.25,0.,0.,0.125,0.,0.125,0.,0.,0.,0.125,0.,0.,0.,0.,0.,0.,0.,0.,0.,0.25,0.,0.25,0.,0.,0.,0.,0.,0.,0.,0.25,0.125,0.125,0.125,0.,0.,0.,0.125,0.,0.125,0.125,0.125,0.,0.,0.,0.,0.125,0.,0.,0.125,0.,0.,0.,0.25,0.,0.,0.,0.,0.,0.,0.,0.125,0.,0.,0.125,0.125,0.,0.125,0.,0.125,0.,0.,0.,0.,0.,0.,0.,0.,0.125,0.,0.,0.,0.,0.,0.,0.125,0.,0.,0.,0.25,0.,0.,0.,0.,0.125,0.,0.,0.,0.,0.,0.,0.,0.,0.125,0.125,0.,0.,0.125,0.125,0.125,0.125,0.125,0.,0.,0.,0.,0.,0.,0.125,0.125,0.,0.,0.125,0.,0.25,0.,0.,0.,0.,0.,0.,0.125,0.,0.125,0.,0.25,0.,0.,0.125,0.,0.125,0.,0.,0.,0.,0.,0.,0.,0.,0.,0.,0.,0.,0.,0.125,0.25,0.,0.,0.125,0.,0.,0.125,0.,0.,0.2,0.,0.2,0.,0.,0.,0.,0.,0.,0.,0.,0.,0.,0.,0.,0.,0.,0.,0.2,0.,0.,0.,0.,0.,0.,0.,0.,0.,0.,0.,0.,0.,0.,0.,0.,0.,0.,0.,0.,0.,0.,0.,0.,0.,0.,0.,0.,0.,0.,0.,0.,0.,0.,0.,0.,0.,0.,0.,0.,0.,0.,0.,0.,0.,0.,0.,0.,0.2,0.,0.,0.,0.,0.,0.2,0.,0.,0.,0.,0.,0.,0.,0.,0.,0.,0.,0.2,0.,0.,0.,0.,0.,0.,0.,0.,0.2,0.,0.,0.,0.,0.,0.,0.,0.,0.,0.,0.,0.,0.,0.,0.,0.,0.,0.,0.,0.2,0.,0.,0.,0.2,0.2,0.,0.,0.,0.,0.,0.2,0.,0.,0.,0.,0.,0.,0.,0.2,0.,0.,0.,0.,0.,0.,0.,0.,0.,0.2,0.,0.,0.,0.,0.,0.,0.,0.,0.,0.,0.,0.,0.,0.,0.,0.,0.,0.,0.,0.,0.,0.,0.,0.2,0.,0.,0.,0.,0.2,0.,0.,0.,0.,0.,0.,0.,0.,0.,0.,0.,0.,0.,0.,0.,0.,0.,0.,0.,0.,0.,0.,0.,0.,0.,0.,0.,0.,0.,0.,0.,0.,0.25,0.,0.,0.,0.,0.,0.,0.,0.,0.,0.,0.,0.,0.,0.,0.,0.,0.,0.,0.,0.,0.,0.,0.25,0.,0.,0.,0.,0.,0.,0.,0.,0.,0.,0.,0.,0.,0.,0.,0.,0.,0.,0.25,0.,0.25,0.,0.,0.25,0.,0.,0.,0.,0.,0.,0.,0.,0.,0.,0.,0.,0.,0.,0.,0.,0.,0.,0.,0.,0.,0.,0.25,0.,0.,0.,0.,0.,0.,0.,0.,0.,0.,0.,0.,0.,0.,0.,0.,0.,0.,0.25,0.,0.,0.,0.,0.,0.,0.,0.,0.,0.,0.25,0.,0.,0.,0.,0.,0.,0.,0.,0.,0.,0.,0.,0.,0.,0.,0.,0.25,0.,0.,0.,0.,0.,0.25,0.,0.,0.,0.,0.,0.,0.,0.25,0.,0.,0.,0.,0.,0.,0.,0.,0.,0.,0.,0.,0.,0.,0.25,0.,0.,0.,0.,0.,0.25,0.,0.,0.,0.,0.,0.,0.25,0.,0.,0.,0.25,0.,0.,0.,0.,0.,0.,0.5,0.,0.,0.,0.,0.,0.,0.,0.,0.,0.,0.25,0.,0.,0.,0.,0.,0.,0.,0.5,0.25,0.,0.25,0.,0.,0.,0.2,0.,0.,0.,0.,0.,0.,0.4,0.,0.2,0.,0.,0.2,0.,0.,0.2,0.4,0.,0.,0.,0.,0.,0.2,0.2,0.,0.,0.,0.2,0.,0.,0.,0.,0.,0.2,0.,0.,0.4,0.,0.,0.,0.,0.,0.,0.,0.,0.,0.,0.,0.,0.,0.,0.2,0.,0.,0.4,0.4,0.,0.4,0.,0.,0.,0.,0.,0.,0.,0.,0.,0.,0.,0.,0.,0.,0.,0.,0.2,0.,0.2,0.,0.,0.,0.,0.2,0.,0.,0.,0.,0.,0.,0.,0.,0.,0.2,0.4,0.,0.,0.,0.,0.,0.,0.2,0.2,0.,0.2,0.,0.2,0.,0.,0.,0.,0.,0.,0.,0.,0.,0.,0.,0.2,0.,0.,0.,0.,0.2,0.,0.,0.,0.,0.,0.,0.,0.,0.,0.,0.,0.2,0.,0.,0.,0.,0.2,0.2,0.,0.,0.,0.,0.,0.2,0.2,0.,0.,0.,0.2,0.,0.,0.,0.2,0.,0.,0.,0.,0.,0.,0.,0.,0.2,0.,0.,0.2,0.2,0.,0.,0.4,0.,0.,0.2,0.,0.,0.,0.,0.,0.2,0.,0.,0.,0.,0.,0.2,0.,0.2,0.,0.2,0.,0.,0.,0.2,0.,0.,0.,0.,0.,0.,0.,0.,0.,0.,0.,0.,0.,0.16666667,0.,0.,0.,0.,0.,0.,0.,0.,0.,0.16666667,0.,0.16666667,0.,0.,0.,0.,0.,0.,0.,0.16666667,0.,0.,0.,0.,0.,0.,0.,0.,0.16666667,0.,0.,0.,0.,0.,0.,0.,0.,0.,0.,0.,0.,0.,0.16666667,0.,0.,0.,0.,0.,0.,0.,0.,0.,0.,0.,0.,0.,0.,0.,0.,0.,0.,0.,0.,0.16666667,0.,0.,0.,0.,0.16666667,0.,0.16666667,0.,0.,0.,0.,0.,0.,0.,0.16666667,0.,0.,0.,0.,0.16666667,0.,0.,0.16666667,0.,0.,0.,0.,0.16666667,0.16666667,0.,0.,0.,0.,0.,0.,0.,0.,0.,0.,0.16666667,0.16666667,0.,0.,0.,0.,0.,0.,0.,0.,0.,0.,0.,0.,0.,0.,0.,0.,0.,0.,0.,0.,0.,0.,0.,0.,0.16666667,0.,0.,0.,0.,0.,0.,0.,0.,0.,0.,0.,0.,0.,0.,0.,0.,0.,0.,0.16666667,0.,0.,0.,0.,0.,0.,0.,0.16666667,0.,0.,0.,0.16666667,0.,0.,0.,0.16666667,0.,0.,0.,0.,0.16666667,0.,0.,0.,0.,0.,0.,0.,0.,0.,0.,0.16666667,0.,0.,0.,0.,0.,0.,0.,0.]</t>
  </si>
  <si>
    <t>e</t>
  </si>
  <si>
    <t>[0.25,0.,0.,0.5,0.25,0.375,0.125,0.,0.,0.125,0.25,0.,0.,0.125,0.125,0.375,0.,0.,0.125,0.625,0.125,0.25,0.,0.625,0.5,0.,0.,0.,0.,0.125,0.125,0.,0.375,0.,0.,0.,0.,0.125,0.,0.25,0.,0.,0.125,0.,0.125,0.,0.,0.,0.,0.,0.,0.,0.25,0.125,0.25,0.,0.125,0.,0.25,0.,0.25,0.25,0.,0.125,0.125,0.,0.375,0.125,0.,0.,0.375,0.,0.25,0.25,0.125,0.625,0.5,0.375,0.,0.25,0.,0.25,0.125,0.125,0.25,0.375,0.875,0.,0.5,0.,0.625,0.,0.,0.5,0.,0.375,0.125,0.125,0.,0.125,0.125,0.,0.,0.125,0.,0.125,0.,0.,0.,0.,0.,0.375,0.,0.375,0.,0.125,0.25,0.,0.,0.5,0.125,0.,0.125,0.25,0.5,0.,0.,0.25,0.375,0.25,0.,0.25,0.125,0.,0.125,0.25,0.25,0.125,0.25,0.,0.25,0.125,0.125,0.25,0.,0.375,0.375,0.,0.25,0.125,0.25,0.25,0.25,0.125,0.25,0.,0.,0.25,0.,0.125,0.125,0.,0.,0.125,0.,0.625,0.,0.,0.,0.375,0.,0.,0.25,0.125,0.,0.25,0.125,0.125,0.125,0.25,0.25,0.,0.125,0.25,0.125,0.125,0.25,0.,0.,0.,0.375,0.,0.125,0.,0.375,0.125,0.125,0.,0.125,0.125,0.2,0.2,0.,0.,0.,0.2,0.2,0.,0.4,0.4,0.2,0.,0.,0.4,0.2,0.,0.,0.2,0.,0.,0.2,0.4,0.2,0.,0.4,0.2,0.4,0.2,0.,0.2,0.2,0.,0.2,0.2,0.4,0.6,0.2,0.,0.4,0.2,0.2,0.,0.,0.4,0.2,0.2,0.4,0.,0.,0.2,0.,0.,0.4,0.2,0.2,0.2,0.,0.2,0.2,0.2,0.,0.2,0.2,0.4,0.,0.,0.4,0.,0.2,0.2,0.2,0.,0.,0.2,0.2,0.,0.2,0.4,0.,0.,0.2,0.2,0.,0.2,0.,0.,0.2,0.,0.2,0.,0.2,0.2,0.2,0.2,0.,0.2,0.,0.6,0.,0.4,0.4,0.,0.,0.4,0.2,0.2,0.2,0.,0.2,0.,0.2,0.,0.4,0.,0.4,0.2,0.,0.2,0.2,0.4,0.2,0.2,0.4,0.,0.4,0.,0.2,0.2,0.4,0.,0.2,0.2,0.2,0.4,0.2,0.6,0.2,0.,0.2,0.2,0.,0.2,0.,0.2,0.,0.2,0.2,0.2,0.2,0.,0.4,0.2,0.2,0.4,0.,0.4,0.2,0.2,0.4,0.2,0.,0.,0.2,0.,0.2,0.,0.,0.2,0.2,0.2,0.,0.4,0.,0.,0.,0.2,0.2,0.,0.2,0.,0.2,0.2,0.4,0.2,0.2,0.,0.,0.,0.2,0.2,0.2,0.2,0.,0.2,0.,0.2,0.2,0.2,0.,0.2,0.25,0.,0.,0.,0.,0.,0.5,0.25,0.,0.,0.25,0.,0.,0.,0.,0.,0.,0.,0.25,0.25,0.,0.,0.,0.25,0.,0.25,0.,0.,0.,0.,0.25,0.,0.,0.,0.,0.,0.,0.,0.,0.,0.,0.,0.,0.,0.25,0.,0.,0.25,0.5,0.25,0.,0.,0.,0.5,0.,0.25,0.,0.,0.,0.,0.,0.,0.,0.,0.25,0.,0.,0.,0.,0.,0.,0.25,0.,0.,0.,0.,0.,0.25,0.,0.,0.25,0.,0.,0.,0.25,0.,0.5,0.,0.,0.,0.,0.,0.,0.25,0.5,0.,0.,0.,0.25,0.,0.,0.,0.,0.,0.,0.,0.25,0.25,0.,0.,0.,0.,0.,0.25,0.,0.,0.,0.,0.25,0.,0.,0.,0.,0.25,0.,0.,0.,0.5,0.,0.,0.25,0.,0.,0.,0.,0.,0.,0.,0.,0.25,0.,0.,0.,0.,0.25,0.,0.,0.25,0.,0.25,0.,0.,0.,0.,0.5,0.,0.5,0.,0.25,0.,0.25,0.,0.,0.,0.,0.,0.,0.,0.25,0.,0.25,0.,0.25,0.,0.,0.,0.,0.,0.,0.,0.5,0.25,0.,0.,0.25,0.25,0.25,0.5,0.,0.,0.25,0.,0.,0.,0.25,0.25,0.,0.25,0.,0.,0.2,0.2,0.2,0.2,0.2,0.6,0.,0.2,0.2,0.,0.,0.4,0.4,0.2,0.2,0.,0.6,0.,0.2,0.2,0.2,0.4,0.2,0.4,0.2,0.2,0.,0.2,0.6,0.6,1.,0.2,0.2,0.2,0.2,0.2,0.2,0.4,0.2,0.,0.,0.,0.2,0.2,0.2,0.2,0.2,0.6,0.,0.,0.,0.4,0.2,0.2,0.2,0.,0.4,0.2,0.4,0.4,0.4,0.,0.,0.,0.,0.4,0.,0.,0.4,0.,0.2,0.,0.2,0.4,0.,0.2,0.2,0.2,0.,0.,0.2,0.4,0.4,0.2,0.6,0.2,0.6,0.,0.6,0.2,0.2,0.2,0.4,0.2,0.2,0.2,0.,0.2,0.2,0.2,0.4,0.4,0.2,0.2,0.2,0.4,0.,0.2,0.,0.,0.,0.2,0.,0.2,0.,0.,0.,0.,0.,0.2,0.2,0.2,0.2,0.,0.2,0.4,0.,0.2,0.2,0.4,0.2,0.,0.,0.4,0.4,0.,0.,0.2,0.4,0.,0.4,0.2,0.,0.2,0.,0.2,0.2,0.2,0.2,0.4,0.4,0.2,0.,0.2,0.2,0.2,0.2,0.2,0.4,0.,0.2,0.4,0.2,0.2,0.,0.4,0.,0.,0.,0.,0.2,0.2,0.2,0.,0.2,0.6,0.4,0.4,0.,0.4,0.2,0.2,0.2,0.2,0.2,0.,0.4,0.,0.4,0.,0.4,0.2,0.,0.,0.2,0.4,0.2,0.4,0.5,0.5,0.33333333,0.,0.16666667,0.33333333,0.,0.,0.33333333,0.,0.33333333,0.,0.16666667,0.,0.,0.,0.,0.33333333,0.33333333,0.16666667,0.33333333,0.33333333,0.33333333,0.,0.16666667,0.66666667,0.16666667,0.66666667,0.,0.33333333,0.16666667,0.,0.5,0.33333333,0.16666667,0.16666667,0.16666667,0.16666667,0.,0.33333333,0.16666667,0.,0.,0.16666667,0.,0.33333333,1.,0.33333333,0.5,0.,0.5,0.16666667,0.,0.33333333,0.5,0.,0.16666667,0.33333333,0.5,0.16666667,0.33333333,0.33333333,0.66666667,0.33333333,0.,0.33333333,0.,0.16666667,0.33333333,0.16666667,0.,0.,0.33333333,0.33333333,0.33333333,0.33333333,0.,0.16666667,0.16666667,0.33333333,0.,0.33333333,0.,0.33333333,0.,0.,0.33333333,0.,0.,0.5,0.33333333,0.16666667,0.16666667,0.16666667,0.33333333,0.16666667,0.33333333,0.33333333,0.33333333,0.33333333,0.33333333,0.5,0.,0.16666667,0.5,0.16666667,0.33333333,0.,0.33333333,0.16666667,0.33333333,0.,0.,0.33333333,0.5,0.,0.33333333,0.,0.16666667,0.33333333,0.,0.66666667,0.16666667,0.33333333,0.16666667,0.33333333,0.,0.16666667,0.5,0.83333333,0.,0.16666667,0.,0.16666667,0.,0.33333333,0.33333333,0.33333333,0.16666667,0.33333333,0.16666667,0.33333333,0.33333333,0.5,0.,0.,0.,0.,0.33333333,0.,0.16666667,0.33333333,0.33333333,0.,0.33333333,0.,0.16666667,0.5,0.16666667,0.,0.33333333,0.5,0.16666667,0.33333333,0.33333333,0.16666667,0.,0.16666667,0.,0.,0.33333333,0.33333333,0.,0.33333333,0.,0.16666667,0.,0.33333333,0.33333333,0.33333333,0.33333333,0.5,0.16666667,0.16666667,0.33333333,0.16666667,0.,0.33333333,0.,0.,0.33333333,0.33333333,0.,0.33333333,0.33333333,0.,0.,0.66666667,0.,0.]</t>
  </si>
  <si>
    <t>d</t>
  </si>
  <si>
    <t>[0.25,0.5,0.,0.375,0.25,0.25,0.125,0.,0.125,0.5,0.,0.5,0.25,0.375,0.,0.375,0.125,0.25,0.,0.25,0.,0.125,0.,0.125,0.,0.5,0.125,0.125,0.5,0.,0.125,0.375,0.,0.25,0.125,0.,0.75,0.125,0.375,0.375,0.,0.5,0.125,0.125,0.,0.125,0.125,0.375,0.5,0.125,0.125,0.,0.125,0.125,0.125,0.125,0.125,0.5,0.25,0.,0.5,0.25,0.25,0.,0.125,0.125,0.,0.375,0.25,0.,0.125,0.,0.375,0.,0.25,0.75,0.125,0.,0.125,0.25,0.,0.5,0.375,0.125,0.5,0.,0.25,0.,0.25,0.,0.25,0.25,0.125,0.,0.25,0.,0.25,0.,0.25,0.25,0.25,0.,0.25,0.25,0.625,0.25,0.,0.,0.25,0.5,0.125,0.125,0.,0.,0.25,0.375,0.,0.,0.,0.,0.25,0.,0.5,0.125,0.5,0.,0.,0.,0.375,0.25,0.,0.375,0.,0.,0.,0.25,0.5,0.5,0.125,0.125,0.375,0.125,0.,0.375,0.375,0.125,0.125,0.25,0.125,0.375,0.125,0.125,0.25,0.,0.375,0.125,0.25,0.125,0.125,0.125,0.,0.,0.25,0.,0.625,0.125,0.,0.125,0.125,0.375,0.,0.125,0.375,0.25,0.125,0.25,0.375,0.125,0.25,0.25,0.,0.25,0.,0.25,0.125,0.25,0.25,0.125,0.,0.125,0.,0.375,0.,0.125,0.375,0.125,0.,0.,0.5,0.,0.8,0.4,0.2,0.2,0.2,0.2,0.,0.,0.4,0.2,0.2,0.4,0.6,0.2,0.,0.2,0.,0.4,0.,0.4,0.4,0.2,0.2,0.4,0.2,0.4,0.2,0.2,0.4,0.2,0.2,0.2,0.,0.,0.6,0.4,0.,1.,0.2,0.4,0.2,1.,0.4,0.2,0.2,0.4,0.4,0.2,0.2,0.2,0.4,0.4,0.4,0.,0.2,0.,0.,0.,0.2,0.4,0.4,0.2,0.2,0.2,0.4,0.6,0.2,0.2,0.4,0.,0.,0.2,0.,0.2,0.,0.2,0.2,0.4,0.4,0.4,0.6,0.2,0.4,0.4,0.6,0.2,0.2,0.4,0.4,0.2,0.4,0.2,0.2,0.,0.,0.,0.2,0.,0.4,0.,0.2,0.2,0.6,0.,1.,0.,0.8,0.,0.4,0.,0.4,0.2,0.,0.2,0.2,0.2,0.2,0.2,0.2,0.2,0.,1.,0.4,0.2,0.2,0.2,0.2,0.4,0.,0.2,0.2,0.4,0.,0.2,0.4,0.2,0.,0.2,0.2,0.4,0.6,0.2,0.4,0.6,0.,0.2,0.,0.4,0.4,0.2,0.4,1.,0.,0.2,0.2,0.,0.4,1.,0.,0.2,0.2,0.4,0.2,0.4,0.2,0.2,0.,0.6,1.,0.,0.6,0.2,0.2,0.2,0.2,0.4,0.2,0.4,0.2,0.4,0.6,0.2,0.2,0.,0.,0.2,0.2,0.6,0.2,0.,0.4,0.4,0.4,0.,0.2,0.2,0.4,0.4,0.2,0.,0.,0.,0.,0.,0.5,0.25,0.25,0.,0.,0.,0.,0.5,0.,0.5,0.25,0.,0.,0.,0.,0.,0.,0.,0.25,0.,0.25,0.,0.5,0.,0.,0.,0.,0.,0.,0.,0.,0.,0.,0.25,0.,0.,0.,0.,0.,0.,0.,0.,0.25,0.,0.25,0.,0.,0.25,0.5,0.25,0.,0.,0.,0.,0.25,0.,0.,0.,0.,0.,0.,0.,0.25,0.5,0.,0.,0.,0.25,0.,0.,0.25,0.,0.25,0.,0.,0.,0.,0.,0.,0.,0.,0.,0.,0.,0.25,0.,0.25,0.,0.25,0.5,0.25,0.,0.,0.25,0.,0.25,0.,0.,0.,0.,0.,0.5,0.25,0.,0.5,0.,0.25,0.25,0.5,0.,0.,0.25,0.,0.,0.25,0.,0.,0.25,0.,0.25,0.5,0.,0.25,0.5,0.25,0.25,0.25,0.25,0.,0.,0.,0.5,0.,0.,0.25,0.25,0.,0.,0.25,0.5,0.,0.,0.,0.,0.25,0.,0.,0.,0.25,0.,0.,0.25,0.25,0.5,0.,0.5,0.,0.25,0.,0.,0.,0.5,0.,0.,0.,0.25,0.,0.,0.,0.25,0.25,0.,0.5,0.25,0.,0.25,0.25,0.,0.,0.5,0.25,0.,0.,0.25,0.,0.25,0.,0.25,0.25,0.25,0.,0.25,0.5,0.,0.25,0.4,0.2,0.,0.2,0.2,0.,0.2,1.,0.,0.4,0.,0.6,0.2,0.,0.,0.6,0.4,0.,0.,0.2,0.2,0.2,0.,0.4,0.4,0.6,0.2,0.2,0.,0.,0.2,0.4,0.4,0.2,0.2,0.,0.4,0.4,0.4,0.6,0.2,0.,0.,0.,0.2,0.6,0.4,0.2,0.,0.2,0.,0.2,0.2,0.6,0.6,0.2,0.4,0.,0.4,0.4,0.,0.4,0.4,0.6,0.2,0.,0.2,0.2,0.6,0.,0.2,0.,0.4,0.2,0.2,0.4,0.2,0.6,0.,1.,0.,0.,0.,0.2,0.2,0.2,0.4,0.,0.2,0.2,0.6,0.,0.4,0.2,0.2,1.,0.,0.,0.6,0.4,0.2,0.2,0.6,0.2,0.4,0.2,0.2,0.2,0.2,0.6,0.,0.2,0.,0.,0.,0.4,0.,0.,0.4,0.2,0.2,0.,0.2,0.2,1.,0.,0.2,0.6,0.4,0.4,0.4,0.2,1.,0.,0.,0.6,0.6,0.4,0.4,0.2,0.4,0.2,0.6,0.2,0.2,0.2,0.2,0.2,0.,0.,0.,0.4,0.4,0.4,0.,0.4,0.2,0.2,0.4,0.4,0.2,0.,0.2,0.4,0.,0.2,0.2,0.4,0.,0.,0.4,0.,0.2,0.4,0.2,0.6,0.4,0.,0.6,0.4,0.4,0.,0.4,0.2,0.2,0.2,0.4,0.,0.6,0.,0.6,0.,0.4,0.,0.,0.2,0.,0.4,0.4,0.6,0.66666667,0.66666667,0.33333333,0.66666667,0.,0.66666667,0.,0.16666667,0.,0.,0.33333333,0.16666667,1.,0.5,0.,0.,0.,0.33333333,0.,0.,0.16666667,0.16666667,0.66666667,0.,0.33333333,0.16666667,0.,0.33333333,0.,0.33333333,0.16666667,0.33333333,0.16666667,0.,0.,0.,0.16666667,0.,0.33333333,0.66666667,0.33333333,0.,0.,0.,0.,0.,0.16666667,0.16666667,0.16666667,0.,1.,0.33333333,0.,0.66666667,0.,0.,0.16666667,0.33333333,0.16666667,0.66666667,0.33333333,0.16666667,0.66666667,0.16666667,0.,0.5,0.33333333,0.,0.16666667,0.16666667,0.,0.,0.,0.,0.16666667,0.66666667,0.16666667,0.33333333,0.33333333,0.16666667,1.,0.33333333,0.,0.,0.33333333,0.5,0.5,0.,0.,0.33333333,0.,0.16666667,0.16666667,0.,0.33333333,0.,0.16666667,0.16666667,0.16666667,0.16666667,0.16666667,0.16666667,0.16666667,0.33333333,0.33333333,0.16666667,0.33333333,0.33333333,0.5,0.16666667,0.33333333,0.,0.,0.5,0.5,0.,0.33333333,0.,0.16666667,0.66666667,0.66666667,0.33333333,0.33333333,0.,0.,0.33333333,0.,0.16666667,0.16666667,0.5,0.,0.16666667,0.,0.,0.,0.33333333,0.33333333,1.,0.,0.,0.16666667,0.,0.16666667,0.,0.33333333,0.16666667,0.33333333,0.,0.33333333,0.66666667,1.,0.16666667,0.16666667,0.,0.66666667,0.,0.,0.16666667,0.16666667,0.16666667,0.33333333,0.66666667,0.33333333,0.5,0.,0.,0.,0.,0.,0.,0.16666667,0.16666667,0.,0.16666667,0.,0.16666667,0.66666667,0.16666667,0.5,0.33333333,0.5,0.16666667,0.33333333,0.16666667,0.66666667,0.33333333,0.16666667,0.,0.,0.,0.33333333,0.,0.,0.33333333,0.,0.,0.,0.33333333,0.33333333,0.]</t>
  </si>
  <si>
    <t>[0.375,0.25,0.,0.375,0.25,0.25,0.5,0.5,0.,0.125,0.25,0.25,0.25,0.25,0.625,0.5,0.375,0.,0.5,0.625,0.125,0.,0.,0.375,0.375,0.25,0.5,0.,0.5,0.,0.25,0.25,0.125,0.75,0.25,0.25,0.875,0.125,0.,0.25,0.,0.375,0.125,0.,0.25,0.,0.5,0.125,0.375,0.125,0.125,0.,0.625,0.25,0.125,0.25,0.5,0.25,0.25,0.25,0.125,0.375,0.25,0.5,0.375,0.,0.,0.125,0.25,0.,0.625,0.,0.,0.25,0.5,0.375,0.125,0.375,0.125,0.25,0.25,0.125,0.25,0.125,0.375,0.25,0.5,0.25,0.125,0.25,0.375,0.375,0.25,0.5,0.,0.5,0.125,0.375,0.125,0.25,0.25,0.25,0.375,0.125,0.5,0.125,0.25,0.,0.,0.,0.,0.125,0.,0.,0.,0.375,0.375,0.,0.,0.,0.75,0.,0.,0.5,0.375,0.,0.25,0.375,0.375,0.375,0.,0.,0.,0.125,0.5,0.125,0.25,0.,0.125,0.25,0.375,0.625,0.25,0.,0.,0.125,0.25,0.,0.25,0.125,0.5,0.,0.25,0.375,0.375,0.,0.,0.125,0.5,0.125,0.125,0.,0.375,0.375,0.,0.375,0.125,0.5,0.25,0.125,0.125,0.,0.5,0.25,0.,0.5,0.25,0.125,0.5,0.25,0.,0.,0.125,0.125,0.375,0.125,0.25,0.375,0.125,0.,0.5,0.,0.375,0.125,0.5,0.,0.,0.,0.125,0.25,0.4,0.4,0.4,0.,0.4,0.6,0.2,0.4,0.2,0.2,0.2,0.4,0.4,0.6,0.4,0.2,0.4,0.2,0.6,0.2,0.2,0.4,0.2,0.,0.6,0.2,0.,0.2,0.2,0.4,0.,0.4,0.2,0.6,0.4,0.4,0.4,0.2,0.,0.,0.,0.2,0.4,0.,0.2,0.2,0.2,0.4,0.2,0.2,0.,0.,0.2,0.4,0.2,0.4,0.6,0.2,0.,0.6,0.4,0.2,0.,0.2,0.2,0.6,0.6,0.2,0.4,0.2,0.,0.2,0.2,0.4,0.2,0.4,0.,0.2,0.2,0.2,0.2,0.,0.4,0.6,0.2,0.6,0.4,0.2,0.2,0.,0.6,0.2,0.2,0.6,0.,0.,0.2,0.4,0.,0.2,0.,0.2,0.2,0.4,0.,0.2,0.,0.,1.,0.4,0.4,0.2,0.4,0.4,0.,0.4,0.,0.6,0.2,0.,0.2,0.2,0.2,0.6,0.2,0.4,0.2,0.2,1.,0.,0.2,0.2,0.4,0.6,0.4,0.4,0.,0.4,0.2,0.,0.,0.2,0.4,0.2,0.,0.4,0.2,0.2,0.2,0.,0.2,0.,0.,0.4,0.,0.2,0.,0.,0.4,0.,0.4,0.4,0.4,0.2,0.,0.2,0.2,0.6,0.2,0.6,0.4,0.4,0.4,0.4,0.,0.4,0.4,0.4,0.2,0.2,0.6,0.4,0.4,0.4,0.6,0.2,0.2,0.,0.4,0.2,0.2,0.,0.2,1.,0.2,0.2,0.2,0.2,0.4,0.4,0.,0.,0.,0.25,0.25,0.,0.5,0.25,0.25,0.25,0.,0.,0.25,1.,0.25,0.,0.25,0.,0.5,0.5,0.,0.,0.,0.25,0.75,0.25,0.,0.5,0.,0.25,0.5,0.,0.,0.,0.,0.25,0.5,0.25,0.,0.,0.,0.,0.25,0.,0.,0.,0.25,0.25,0.25,0.25,0.,0.25,0.,0.25,0.25,0.,0.25,0.,0.25,0.,0.,0.,0.,0.25,0.5,0.,0.25,0.,0.5,0.25,0.,0.,0.,0.,0.,0.25,0.25,0.25,0.,0.,0.25,0.25,0.,0.,0.,0.25,0.,1.,0.,0.,0.5,0.5,0.,0.,0.5,0.25,0.,0.,0.,0.25,0.75,0.,0.,0.,0.,0.,0.25,0.25,0.25,0.,0.,0.25,0.25,0.25,0.,0.25,0.,0.,0.,0.,0.,0.,0.,0.,0.25,0.,0.,0.25,0.25,0.,0.5,0.25,0.5,0.,0.,0.,0.5,0.,0.,0.,0.25,0.25,0.25,0.25,0.5,0.,0.25,0.,0.5,0.25,0.,0.,0.25,0.5,0.5,0.,0.25,0.25,0.5,0.25,0.25,0.25,0.,1.,0.,0.,0.5,0.25,0.,0.,0.5,0.,0.,0.,0.25,0.5,0.25,0.25,0.25,0.,0.,0.,0.25,0.25,0.25,0.25,0.25,0.,0.25,0.,0.5,0.,0.,0.,0.5,0.,0.25,0.,0.25,0.25,0.2,0.2,0.,0.4,0.2,0.4,0.4,0.6,0.2,0.2,0.6,0.,0.4,0.6,0.2,0.6,0.2,0.4,0.2,0.6,0.2,0.2,0.,0.4,0.2,0.6,0.2,0.2,0.,0.,0.4,0.4,1.,0.2,0.4,0.2,0.2,0.2,0.2,0.6,0.2,0.,0.,0.2,0.2,0.2,0.2,0.2,0.2,0.4,0.,0.,0.2,0.4,0.6,0.4,0.2,0.4,0.2,0.4,0.4,0.,0.2,0.,0.6,0.2,0.4,0.6,0.4,0.2,0.2,0.4,0.4,0.2,0.2,1.,0.6,0.6,0.2,0.6,0.,0.2,0.,0.4,0.4,0.2,1.,0.4,0.2,0.4,0.4,0.2,0.4,0.2,0.2,0.4,0.4,0.2,0.6,0.4,0.4,0.2,0.6,0.6,0.4,0.6,0.4,0.2,0.,0.4,0.,0.,0.,0.6,0.,0.4,0.2,0.2,0.,0.2,0.4,0.2,0.4,0.2,0.2,0.,0.2,0.6,0.,0.2,0.4,0.2,1.,0.2,0.2,0.4,0.6,0.4,0.4,0.2,0.6,0.2,0.6,0.6,0.,0.6,0.2,0.2,0.6,0.4,0.,0.6,0.6,0.4,0.4,0.4,0.2,0.4,0.6,0.4,0.2,0.,0.2,0.4,0.2,0.2,0.6,0.,0.,0.2,0.4,0.2,0.2,0.6,0.4,0.2,0.2,0.6,0.4,0.4,0.4,0.2,0.6,0.2,0.4,0.4,0.4,1.,0.2,0.2,0.6,0.,0.4,0.2,0.2,0.,0.2,0.6,0.4,0.6,0.16666667,0.16666667,0.33333333,0.,0.16666667,0.16666667,0.,0.33333333,0.16666667,0.,0.16666667,0.,0.33333333,0.5,0.,0.,0.,0.33333333,0.33333333,0.,0.,0.83333333,0.5,0.,0.16666667,0.33333333,0.,0.5,0.,0.,0.,0.5,0.66666667,0.16666667,0.16666667,0.16666667,0.66666667,0.,0.16666667,0.33333333,0.16666667,0.,0.,0.16666667,0.,0.66666667,0.,0.16666667,0.16666667,0.,1.,0.16666667,0.,0.16666667,0.33333333,0.,0.33333333,0.33333333,1.,0.33333333,0.5,0.33333333,0.33333333,0.33333333,0.,0.33333333,0.,0.16666667,0.16666667,0.,0.,0.,0.,0.,0.,0.16666667,0.,0.16666667,0.,0.16666667,0.,0.66666667,0.,0.33333333,0.,0.16666667,0.33333333,0.,0.,0.5,0.83333333,0.33333333,0.,0.16666667,0.5,0.33333333,0.,0.33333333,0.,0.33333333,0.,0.,0.33333333,0.33333333,0.16666667,0.33333333,0.,0.,0.16666667,0.33333333,1.,0.,0.33333333,0.33333333,0.33333333,0.,0.,0.,0.33333333,0.33333333,0.16666667,1.,0.,0.33333333,0.,0.16666667,0.,0.16666667,0.33333333,0.33333333,0.,0.33333333,0.33333333,0.16666667,0.,0.33333333,0.5,0.83333333,0.16666667,0.,0.33333333,0.16666667,0.16666667,0.33333333,1.,0.16666667,0.,0.,0.66666667,0.5,0.33333333,0.16666667,0.33333333,0.,0.5,0.,0.16666667,0.,0.5,0.33333333,0.33333333,0.5,0.33333333,0.,0.16666667,0.,0.16666667,0.16666667,0.16666667,0.,0.33333333,0.,0.,0.33333333,0.16666667,0.33333333,0.33333333,1.,0.5,0.33333333,0.16666667,0.16666667,0.,0.,0.33333333,0.16666667,0.,0.,0.,0.16666667,0.33333333,0.,0.,0.33333333,0.,0.,0.16666667,0.16666667,0.,0.16666667]</t>
  </si>
  <si>
    <t>[0.25,0.375,0.,0.625,0.125,0.25,0.25,0.375,0.,0.75,0.5,0.75,0.,0.25,0.75,0.25,0.625,0.5,0.,0.625,0.125,0.,0.25,0.75,0.5,0.75,0.25,0.,0.125,0.375,1.,0.,0.75,0.375,0.125,0.,0.25,0.125,0.,0.25,0.5,0.5,0.125,0.,0.375,0.,0.375,0.,0.5,0.,0.,0.125,0.75,0.,0.125,0.25,0.125,0.125,0.25,0.125,0.125,0.25,0.125,0.,0.,0.5,0.75,0.375,0.25,0.5,0.125,0.75,0.5,0.25,0.125,0.5,0.5,0.125,0.375,0.25,0.375,0.,0.,0.25,0.625,0.125,0.25,0.25,0.75,0.25,0.25,0.375,0.125,0.625,0.5,0.25,0.125,0.5,0.,0.125,0.375,0.125,0.125,0.25,0.,0.25,0.,0.25,0.,0.125,0.,0.5,0.125,0.125,0.,0.125,0.125,0.,0.,0.5,0.5,0.,0.,0.,0.5,0.5,0.25,0.25,0.25,0.25,1.,0.25,0.625,0.,0.375,0.5,0.25,0.375,0.125,0.125,0.25,0.5,0.25,0.5,0.,0.125,0.375,0.125,0.375,0.25,0.25,0.25,0.125,0.375,0.25,0.375,0.,0.625,0.,0.25,0.125,0.,0.,0.5,0.375,0.25,0.125,0.,0.375,0.5,0.125,0.,0.5,0.125,0.125,0.5,0.625,0.25,0.125,0.25,0.,0.125,0.375,0.25,0.25,0.25,0.5,0.625,0.125,0.375,0.375,0.375,0.125,0.375,0.,0.375,0.125,0.375,0.125,0.125,0.4,0.,0.4,0.2,0.2,0.6,0.2,0.2,0.6,0.4,0.2,0.4,0.2,0.2,0.2,0.2,0.4,1.,0.2,0.,1.,0.6,0.2,0.4,0.4,0.2,0.4,0.2,0.4,0.4,0.2,0.6,0.4,0.4,0.4,0.8,0.2,0.4,0.4,0.2,0.2,0.2,0.,0.6,0.2,0.2,0.4,0.2,0.2,0.4,0.,0.,0.4,0.2,0.4,0.4,0.,0.6,0.,0.6,0.6,0.2,0.2,0.6,0.6,0.4,0.2,0.2,0.6,1.,0.4,0.4,0.2,0.,0.2,0.4,0.4,0.6,0.,0.4,0.2,0.2,1.,0.,0.4,0.6,0.4,0.6,0.2,0.4,0.2,1.,0.,0.2,0.4,0.6,0.2,0.6,0.4,0.6,0.4,0.6,0.2,0.2,0.2,0.6,0.2,0.4,0.4,0.4,0.6,0.6,0.,0.2,0.2,0.4,0.6,0.6,0.4,0.,0.,0.2,0.6,0.,0.2,0.2,0.2,0.4,0.2,0.6,0.2,0.6,0.4,0.2,0.2,0.4,0.2,0.2,0.4,0.6,0.,0.2,0.,0.,0.2,0.2,0.6,0.6,0.2,0.,0.4,0.,0.,0.2,0.4,0.4,0.2,0.2,0.2,0.,0.4,0.,0.2,0.2,0.6,1.,0.6,0.4,1.,0.,0.4,0.2,0.2,0.4,0.2,0.4,0.2,0.,0.2,0.2,0.2,0.4,0.4,0.2,0.6,0.2,0.4,0.2,0.4,0.2,0.6,0.4,0.,0.6,0.2,0.4,0.4,0.2,0.4,0.4,0.25,0.25,0.,0.5,0.5,0.25,0.5,0.75,0.,0.25,0.25,0.25,0.25,0.25,0.5,0.25,0.25,0.,0.5,0.5,0.25,0.5,0.25,0.,0.5,0.5,0.25,0.25,0.25,0.,0.5,0.25,0.25,0.25,0.,0.25,0.25,0.,0.5,0.5,0.25,0.,0.25,0.25,0.25,0.,0.5,0.,0.75,0.5,0.25,0.25,0.25,0.75,0.75,0.25,0.5,0.,0.25,0.25,0.5,0.25,1.,0.25,0.25,0.,0.25,0.25,1.,0.25,0.25,0.25,0.75,0.5,0.,0.75,0.,0.25,0.25,0.,0.,0.,0.25,0.,0.25,0.25,0.25,0.25,0.75,0.,0.5,0.25,0.,0.25,1.,0.25,0.,0.25,0.,0.5,0.,0.25,0.25,0.,0.,0.5,0.25,0.5,0.25,0.5,0.,0.,0.5,0.25,0.,0.5,0.25,0.25,0.25,0.5,0.25,0.25,0.,0.25,0.5,0.5,0.25,0.5,0.25,0.5,0.5,0.5,0.75,0.,0.25,0.,0.5,0.25,0.5,0.25,0.,0.5,0.25,0.5,0.25,0.5,0.5,0.,0.5,0.25,0.25,0.25,1.,0.,0.25,0.25,1.,0.5,0.75,0.25,0.5,0.,0.,0.25,0.25,0.25,0.25,0.,0.,0.,0.75,0.25,0.5,0.,0.25,0.,0.,0.,0.,0.25,0.,0.25,0.75,0.,0.25,0.25,0.5,0.25,0.5,0.,0.25,0.,0.25,0.25,0.25,0.25,0.75,0.,0.25,0.5,0.2,0.2,0.2,0.4,0.6,0.2,0.6,0.6,0.2,0.2,0.4,0.2,0.,0.4,0.4,0.2,0.4,0.2,0.6,0.6,0.4,0.4,0.,0.6,0.2,0.6,0.6,0.4,0.2,0.,0.6,0.4,0.4,0.2,0.2,0.6,0.4,0.2,0.2,0.6,0.4,0.2,0.4,0.,0.2,0.,0.2,0.,0.6,0.4,0.,0.,0.2,0.4,0.4,0.4,0.4,0.6,0.6,0.6,0.4,0.6,0.4,0.2,0.6,0.2,0.,0.4,0.6,0.4,0.4,0.4,0.2,0.,0.6,0.4,0.,0.4,0.4,0.6,0.,0.4,0.,0.6,0.6,0.6,0.6,0.4,0.2,0.4,0.4,0.2,0.2,0.6,0.2,0.,0.,0.2,0.6,0.4,0.2,0.4,0.6,0.4,0.6,0.6,0.4,0.4,0.2,0.6,0.,0.2,0.6,0.4,0.2,0.2,0.,0.2,0.,0.2,0.2,0.,0.,0.2,0.4,0.2,0.4,0.6,0.,0.2,0.4,0.4,0.6,0.,0.,0.2,0.4,0.4,0.6,1.,0.6,0.4,0.4,0.6,0.6,0.4,0.4,0.,0.6,0.,0.6,0.6,0.4,0.4,0.6,0.4,0.2,0.6,0.4,0.6,0.4,0.,0.4,0.4,0.,0.4,0.2,0.2,0.4,0.4,0.4,0.,0.2,0.4,0.4,0.6,0.6,0.6,0.6,0.4,0.6,0.2,0.4,0.4,0.4,0.6,0.2,1.,0.4,0.,0.4,0.,0.4,0.2,0.4,0.2,0.2,0.4,0.4,0.4,1.,0.33333333,0.5,0.,0.,0.33333333,0.,1.,0.66666667,0.,0.33333333,0.16666667,1.,0.,0.,0.,0.,0.33333333,1.,0.33333333,0.33333333,1.,0.66666667,0.,0.5,0.16666667,0.,0.5,0.16666667,0.33333333,0.16666667,0.33333333,0.66666667,0.83333333,0.16666667,0.66666667,0.66666667,0.16666667,0.33333333,0.83333333,0.,0.,0.,0.33333333,0.,0.33333333,1.,0.33333333,1.,0.,1.,1.,0.,0.33333333,0.83333333,0.33333333,1.,0.83333333,0.83333333,1.,1.,0.66666667,1.,1.,0.,1.,0.16666667,0.16666667,0.16666667,1.,0.,0.,0.16666667,0.33333333,0.33333333,0.66666667,0.,1.,0.33333333,1.,0.5,0.33333333,0.16666667,0.33333333,0.,0.5,1.,1.,0.,1.,0.33333333,0.16666667,0.16666667,0.16666667,0.33333333,0.16666667,0.16666667,0.33333333,1.,0.,0.,0.33333333,0.,0.33333333,0.33333333,0.5,0.33333333,0.66666667,1.,0.33333333,1.,0.16666667,0.5,1.,0.66666667,0.,0.,0.,0.83333333,0.16666667,0.16666667,1.,0.16666667,0.83333333,0.,0.33333333,0.,0.83333333,0.33333333,1.,0.16666667,0.83333333,0.33333333,0.16666667,0.16666667,1.,1.,1.,0.16666667,0.33333333,0.33333333,0.16666667,0.16666667,0.33333333,0.5,0.33333333,0.16666667,0.,1.,0.,0.5,0.33333333,1.,0.16666667,0.33333333,0.,1.,0.5,0.33333333,0.16666667,0.33333333,1.,0.,1.,0.33333333,0.,0.66666667,0.66666667,0.33333333,0.,0.33333333,0.33333333,0.,0.33333333,0.33333333,0.33333333,0.33333333,0.83333333,1.,0.33333333,0.33333333,0.33333333,0.,1.,0.33333333,0.66666667,0.,0.5,0.,0.33333333,0.33333333,0.,0.,0.16666667,0.33333333,0.,0.,1.,0.16666667,0.]</t>
  </si>
  <si>
    <t>[0.5,0.5,0.25,0.625,0.125,0.75,0.625,0.125,0.,0.75,0.5,0.125,0.375,0.25,0.5,0.625,0.75,0.,0.,0.625,0.375,0.125,0.25,0.625,0.125,0.,0.25,0.,0.125,0.125,0.375,0.25,0.125,0.75,0.5,0.125,0.625,0.375,0.5,0.375,0.75,0.375,0.5,0.125,0.625,0.5,0.125,0.,0.,0.,0.125,0.125,0.625,0.5,0.125,0.75,0.25,0.375,0.375,0.25,0.5,0.25,0.375,0.125,0.25,0.,0.,0.125,0.375,0.,0.625,0.625,0.25,0.25,0.125,1.,0.,0.125,0.5,1.,0.125,0.125,0.,0.25,0.25,0.5,0.,0.25,0.75,0.125,0.25,0.,0.125,0.75,0.5,0.75,0.375,0.25,0.,0.75,0.25,0.25,0.75,0.375,0.375,0.375,0.375,0.25,0.25,0.25,0.,0.375,0.625,0.25,0.,0.125,0.125,0.5,0.,0.,0.625,0.5,0.,0.5,0.5,0.5,0.,0.375,0.25,0.625,0.25,0.25,0.625,0.5,0.,0.375,0.375,0.625,0.375,0.25,0.375,0.125,0.25,0.,0.,0.625,0.625,0.125,0.25,0.25,0.25,0.,0.125,0.5,0.375,0.25,0.25,0.,0.25,0.625,0.25,0.5,0.125,0.75,0.,0.875,0.25,0.5,0.,0.375,0.5,0.125,0.5,0.125,0.125,0.25,0.375,0.25,0.375,0.25,0.125,0.,0.125,1.,0.25,0.625,0.75,0.75,0.375,0.,0.25,0.,0.25,0.,0.375,0.,1.,0.375,0.125,0.75,0.4,0.4,0.,0.4,0.2,0.6,0.2,0.6,0.6,0.4,0.2,0.4,1.,0.4,0.4,0.4,0.2,0.6,0.2,0.2,0.6,0.6,0.4,0.2,0.6,0.4,0.6,1.,0.6,0.4,0.4,0.6,0.6,0.4,0.4,0.6,0.6,0.4,0.6,0.2,0.4,0.,1.,0.,0.4,0.2,0.4,0.,0.2,0.2,0.2,0.4,0.4,0.4,0.6,0.2,0.,1.,0.4,0.4,1.,0.2,0.2,0.6,0.4,0.4,1.,0.2,0.4,0.2,0.4,0.4,0.4,0.2,0.2,0.4,0.4,0.,0.6,0.6,0.6,0.2,1.,0.2,0.4,0.6,0.6,0.2,0.2,0.2,0.2,0.6,1.,0.6,0.2,0.6,0.4,0.2,0.6,0.6,0.4,0.,0.6,0.6,0.4,0.6,0.2,0.6,0.2,0.4,0.6,1.,0.6,0.2,0.4,0.4,0.6,0.2,0.4,0.,0.4,0.4,1.,1.,0.,0.2,0.6,0.4,0.6,0.4,0.2,0.4,0.2,0.4,0.4,0.4,0.6,0.4,1.,0.4,0.2,0.,0.2,0.,0.6,0.2,0.6,0.6,0.4,0.4,0.6,0.4,0.4,0.2,0.4,0.6,0.4,0.,0.,0.6,0.4,0.4,0.4,0.4,0.4,0.4,1.,0.4,1.,0.6,0.,1.,0.2,0.2,0.4,0.4,0.,0.,0.4,0.2,0.4,0.6,1.,0.2,0.4,1.,0.,0.4,0.6,1.,0.6,0.6,1.,0.4,0.8,0.4,0.4,0.2,0.4,1.,0.25,0.25,0.25,0.25,0.5,0.25,0.5,0.25,0.,0.25,0.25,0.,0.25,0.25,0.25,0.,0.25,0.25,0.75,0.5,0.25,0.75,0.25,0.5,1.,0.5,0.5,0.75,0.25,0.25,0.5,0.25,0.25,0.25,0.25,0.25,0.25,0.5,0.25,0.5,0.25,0.25,0.5,0.25,0.25,0.25,0.,0.75,1.,0.75,0.,0.25,0.25,1.,0.75,0.5,0.25,0.,0.25,0.25,0.25,0.25,0.,0.,0.5,0.25,0.25,0.5,0.25,0.5,0.,0.25,0.5,1.,0.25,0.25,0.25,1.,0.25,0.5,0.25,1.,0.25,1.,0.25,0.25,0.25,0.25,0.25,0.5,0.75,0.25,0.5,0.5,0.25,0.25,0.25,0.5,0.75,0.5,0.25,0.25,0.5,0.25,0.25,0.,0.25,0.75,0.25,0.5,0.,0.25,1.,1.,0.,0.25,0.,0.25,0.25,0.25,0.25,0.5,0.25,0.25,1.,0.5,0.5,0.75,0.,0.25,0.5,0.25,0.5,0.,0.25,0.,1.,0.75,0.25,1.,0.25,0.25,0.75,0.5,0.5,0.,0.,0.25,0.75,0.25,0.25,0.5,1.,0.5,0.25,0.25,0.5,0.5,1.,0.25,1.,0.25,0.5,0.5,0.25,0.,1.,0.25,0.25,0.25,1.,0.25,0.5,0.75,0.25,0.25,0.25,0.5,0.75,0.25,0.,0.25,0.5,0.25,1.,0.75,0.5,0.5,1.,0.25,0.,0.5,0.5,0.25,0.25,0.25,0.,0.5,0.25,1.,0.2,0.4,0.2,1.,0.2,0.2,0.6,1.,0.6,0.4,0.2,0.2,0.6,0.4,1.,0.4,0.2,0.2,0.6,0.6,0.6,0.4,0.6,0.6,0.6,0.4,0.6,0.4,0.4,0.4,0.4,0.6,0.4,0.2,0.2,0.2,0.4,0.6,0.4,1.,0.4,0.2,0.2,0.,0.2,0.6,0.4,0.4,0.4,0.4,0.2,0.2,0.2,0.4,0.6,0.4,0.4,0.4,0.6,0.6,0.4,0.2,0.4,0.4,0.4,0.6,0.4,0.6,0.6,0.4,0.6,0.4,1.,0.2,0.2,0.6,0.4,0.4,0.2,1.,0.2,0.2,0.2,0.6,0.6,0.6,1.,0.4,0.4,0.4,1.,0.4,0.4,0.6,0.2,0.4,0.4,0.4,0.6,0.6,0.4,0.6,0.6,0.4,0.4,0.6,0.4,0.4,0.2,0.6,0.4,0.4,0.6,0.6,0.4,0.6,0.2,0.2,0.4,0.4,0.4,0.6,0.2,0.6,1.,0.2,0.4,0.6,0.6,0.6,0.6,0.6,0.6,0.2,0.,0.4,0.4,0.4,0.6,0.6,0.4,0.4,0.6,0.4,0.2,0.6,0.4,0.4,0.6,0.6,0.6,1.,0.4,0.4,0.4,0.4,0.4,0.4,0.2,0.6,0.4,0.4,0.4,0.,0.2,0.4,0.2,0.2,0.4,0.6,0.2,0.,0.4,0.4,0.2,0.2,0.4,0.4,0.2,0.6,0.2,0.6,0.6,0.4,0.4,0.6,1.,0.4,0.,0.4,0.2,0.6,0.,0.4,0.4,0.4,0.4,0.4,0.6,0.5,0.83333333,1.,0.,0.5,1.,0.,0.66666667,0.16666667,0.,0.33333333,0.16666667,0.5,0.66666667,0.,0.33333333,0.,1.,1.,0.33333333,0.33333333,0.33333333,1.,0.,0.5,0.,0.,1.,0.,0.16666667,0.16666667,1.,1.,1.,0.,0.33333333,0.33333333,0.16666667,0.33333333,0.16666667,0.16666667,0.,0.83333333,0.,0.16666667,0.33333333,0.33333333,0.33333333,0.33333333,0.,0.66666667,0.66666667,0.33333333,0.5,0.83333333,0.,0.5,0.66666667,0.66666667,0.33333333,1.,0.33333333,1.,0.33333333,0.5,0.66666667,0.,0.,0.66666667,0.33333333,0.,0.,0.16666667,0.33333333,0.33333333,0.33333333,0.66666667,0.5,0.66666667,1.,0.83333333,1.,0.,0.33333333,0.,0.33333333,0.33333333,1.,0.,0.33333333,0.,0.,0.33333333,0.33333333,1.,0.33333333,0.33333333,0.5,0.,0.5,1.,1.,0.16666667,1.,0.33333333,0.33333333,0.16666667,0.83333333,1.,0.33333333,0.83333333,0.16666667,0.,1.,0.66666667,0.,0.33333333,0.66666667,0.83333333,0.33333333,0.33333333,0.83333333,0.66666667,0.16666667,0.66666667,0.66666667,0.,0.16666667,0.33333333,1.,0.16666667,0.16666667,0.83333333,0.,0.33333333,1.,1.,1.,0.66666667,1.,1.,0.16666667,0.83333333,0.5,0.33333333,0.33333333,0.33333333,0.,1.,0.33333333,0.33333333,0.33333333,0.66666667,0.,1.,0.,0.83333333,0.83333333,0.33333333,0.,0.33333333,1.,0.83333333,0.5,0.33333333,0.,1.,0.33333333,0.33333333,1.,1.,0.66666667,0.,0.33333333,0.,0.33333333,0.16666667,1.,0.83333333,0.33333333,0.,0.5,0.5,0.16666667,0.33333333,0.5,0.33333333,0.,0.,1.,0.33333333,0.,1.,0.33333333,0.16666667,0.,0.,1.,0.66666667,0.]</t>
  </si>
  <si>
    <t>[0.,0.25,0.,0.625,0.625,0.75,0.5,0.75,0.,0.75,0.25,0.375,0.375,0.5,0.5,0.75,0.375,0.5,0.5,0.75,0.25,0.75,0.5,0.75,0.5,0.25,0.75,0.,0.25,0.625,0.375,0.25,0.75,0.75,0.625,0.25,0.25,0.5,0.,0.25,1.,0.375,0.375,0.,0.625,0.25,1.,0.,0.25,0.125,0.25,0.,0.75,0.5,0.125,1.,0.25,0.25,0.25,0.25,0.375,0.5,0.25,0.125,0.25,0.,0.,0.25,0.375,0.,0.625,0.25,0.,0.25,0.375,1.,0.5,0.25,1.,0.75,0.25,0.,0.375,0.75,0.5,0.375,0.625,0.25,0.25,0.375,0.25,0.25,0.25,1.,0.25,0.625,0.75,0.5,0.5,0.375,0.625,0.75,0.75,0.25,0.25,0.375,0.125,0.25,0.25,0.,0.5,0.5,0.375,0.25,0.375,0.25,0.375,0.375,0.375,0.,0.875,0.,0.125,0.875,0.,0.,0.5,0.75,0.25,0.25,0.5,0.25,0.,0.,0.5,0.25,0.25,0.125,0.75,0.125,0.375,0.75,0.25,0.25,0.,0.375,0.625,0.125,0.25,0.5,0.75,0.125,0.375,0.625,0.25,0.125,0.25,0.625,0.625,0.125,0.875,0.,0.5,0.75,0.375,0.,0.125,0.25,0.,0.125,1.,0.5,0.625,0.25,0.25,0.375,0.375,0.375,0.375,0.25,0.25,0.,0.5,0.25,0.25,0.25,0.375,0.375,0.125,0.,0.5,0.375,0.25,0.5,0.,0.375,0.5,0.625,0.25,0.75,0.6,0.,0.2,0.,0.4,0.6,0.,0.6,0.,0.,0.6,1.,0.6,0.4,0.6,0.2,0.6,0.6,0.4,0.4,0.4,0.4,0.4,0.,0.4,0.2,1.,1.,1.,0.6,0.4,0.2,0.2,1.,0.,0.6,0.6,0.6,0.6,0.2,0.4,0.6,0.6,0.2,0.6,0.4,0.4,0.,0.,0.6,0.4,0.2,0.6,0.4,0.6,0.6,0.,0.4,0.6,0.4,0.4,0.4,0.6,1.,0.2,0.2,0.6,0.4,0.4,1.,0.,0.,0.6,0.6,0.6,0.4,0.2,1.,1.,0.4,0.2,1.,0.4,0.4,0.4,0.6,0.4,0.,0.2,0.2,0.6,0.4,0.4,0.6,0.6,0.4,0.4,0.6,0.4,0.4,0.4,1.,0.6,0.2,0.4,1.,0.6,0.4,0.4,0.4,0.6,0.2,1.,1.,0.,0.4,0.6,0.4,1.,0.6,0.,0.6,0.6,0.,0.4,0.,1.,0.2,0.6,0.2,0.2,0.2,1.,0.6,0.4,0.,1.,1.,0.2,1.,0.,0.2,0.6,0.6,0.2,0.4,0.4,0.6,0.6,0.4,0.6,0.4,0.2,0.,0.,0.4,0.4,1.,0.6,0.6,0.4,0.2,0.6,0.4,0.2,0.6,0.6,0.2,1.,0.6,0.6,0.4,0.4,0.6,0.2,0.4,0.6,0.6,0.2,0.6,0.6,0.6,0.,0.4,0.6,0.4,0.6,0.6,1.,0.2,0.2,0.6,0.,0.4,0.6,0.2,0.6,0.4,0.6,0.4,0.75,0.25,0.5,0.5,0.25,1.,0.5,0.5,0.,0.5,0.25,0.,0.25,1.,0.5,0.5,0.5,0.25,0.75,1.,0.25,0.5,0.25,0.5,1.,0.5,0.25,0.25,0.,0.25,0.5,0.25,0.25,0.25,0.25,0.25,0.25,0.75,0.5,0.25,0.25,0.25,0.25,0.75,0.,1.,1.,0.75,1.,0.5,0.25,0.25,0.25,1.,1.,0.25,0.5,0.25,0.25,0.25,0.25,0.25,0.25,0.25,0.5,0.25,0.25,0.5,0.5,0.5,0.25,0.75,0.5,0.25,0.25,0.5,0.25,0.5,0.25,0.25,0.5,0.25,0.25,1.,0.75,0.25,0.5,0.75,0.25,0.25,0.75,0.75,0.25,0.25,0.,0.75,0.25,1.,0.5,0.5,0.25,0.75,0.25,0.25,0.25,0.75,0.5,0.75,0.25,0.5,0.,0.25,1.,0.75,0.,0.5,0.25,0.,0.5,0.5,0.5,0.,0.25,0.5,0.,0.,0.5,0.5,0.,0.5,0.5,0.5,0.5,0.,0.5,0.,0.75,1.,0.75,1.,0.25,0.25,0.25,0.75,0.25,0.,0.5,0.25,0.5,0.75,0.5,1.,1.,0.5,1.,0.5,0.75,0.5,1.,1.,1.,0.25,0.25,0.5,0.25,0.25,0.75,1.,0.,0.,0.5,0.5,0.5,0.25,0.5,0.25,0.25,1.,0.75,0.25,0.25,0.25,0.5,0.25,1.,0.5,0.25,1.,0.25,0.,0.75,0.25,0.75,0.5,0.25,0.25,0.5,1.,0.75,1.,0.2,0.4,0.6,0.4,1.,0.4,0.6,0.6,0.2,0.2,0.2,0.2,0.2,0.6,0.4,0.4,0.4,0.4,0.6,1.,0.2,0.4,0.6,0.6,0.6,0.6,0.4,0.2,0.2,0.2,0.6,0.4,0.4,0.2,0.2,0.2,0.2,0.4,0.6,0.2,0.2,0.2,0.4,0.4,0.4,0.2,0.4,0.4,0.6,1.,0.2,0.6,0.2,0.4,0.6,0.6,0.6,0.4,0.6,0.,0.4,0.2,0.2,0.4,0.4,0.6,0.4,0.4,0.6,0.2,0.4,0.2,0.4,0.6,0.6,0.6,0.6,0.2,0.2,0.6,0.4,0.6,0.2,0.6,0.4,0.4,0.6,0.6,0.2,0.6,0.6,0.6,1.,0.2,0.4,0.4,0.4,0.4,0.4,1.,0.4,0.6,0.6,0.6,0.,0.6,0.4,0.4,0.,0.6,0.,0.2,0.6,0.6,0.4,0.6,0.2,0.2,0.2,0.2,0.4,0.2,0.4,1.,1.,0.2,0.4,0.4,0.,0.4,0.4,0.4,0.4,0.2,0.,0.6,0.6,0.2,0.4,0.6,0.4,0.4,0.6,0.4,0.2,0.4,0.6,0.2,0.4,0.6,0.6,0.6,0.6,0.4,0.6,0.4,0.4,0.4,0.4,1.,0.4,0.4,0.6,0.6,0.,0.6,0.6,0.2,0.,0.6,0.4,0.2,0.2,0.6,0.4,0.4,0.6,0.4,0.6,0.6,0.6,0.4,1.,0.2,0.6,0.6,0.4,0.6,0.6,0.2,0.6,0.4,0.6,0.4,0.6,0.6,0.2,0.4,0.6,1.,1.,0.83333333,0.83333333,0.33333333,0.66666667,0.33333333,0.,0.33333333,0.5,0.16666667,0.,0.,1.,0.66666667,0.,0.,0.,1.,1.,0.66666667,0.33333333,0.83333333,1.,0.,1.,0.5,0.33333333,1.,0.,1.,0.16666667,1.,1.,0.16666667,1.,0.33333333,0.16666667,0.66666667,0.16666667,0.5,0.,0.33333333,0.,0.33333333,0.,0.33333333,0.33333333,1.,0.33333333,0.,1.,1.,0.,0.33333333,0.83333333,0.,0.66666667,1.,1.,0.66666667,1.,1.,0.66666667,0.16666667,0.,1.,0.,0.,1.,0.33333333,0.,0.,0.,0.33333333,0.33333333,0.16666667,0.,0.66666667,0.33333333,1.,0.66666667,1.,0.,0.16666667,0.,1.,1.,1.,0.,1.,0.,0.33333333,0.33333333,0.,0.33333333,0.66666667,0.16666667,0.16666667,0.16666667,0.33333333,0.33333333,0.5,0.33333333,0.33333333,0.33333333,0.83333333,0.16666667,1.,1.,0.33333333,1.,0.16666667,0.5,1.,0.66666667,0.,0.33333333,0.33333333,1.,0.16666667,1.,1.,0.33333333,0.83333333,0.33333333,0.33333333,0.,0.33333333,0.33333333,1.,0.16666667,0.33333333,0.66666667,0.,1.,1.,1.,1.,0.,1.,0.33333333,0.83333333,0.16666667,0.33333333,0.33333333,0.16666667,0.83333333,0.,1.,0.83333333,0.33333333,1.,1.,0.,1.,0.,0.33333333,0.33333333,0.33333333,0.33333333,0.16666667,0.83333333,1.,0.83333333,0.5,0.16666667,0.33333333,0.33333333,0.33333333,0.,0.83333333,0.66666667,0.5,0.16666667,1.,0.33333333,1.,0.66666667,1.,0.33333333,1.,0.33333333,1.,0.16666667,0.66666667,1.,0.16666667,0.,0.,0.33333333,0.5,0.,1.,0.66666667,0.,0.,0.33333333,1.,0.,0.]</t>
  </si>
  <si>
    <t>[0.5,0.125,0.,0.25,0.625,0.75,0.625,0.25,0.125,0.75,0.375,0.25,0.125,0.25,0.75,0.625,0.375,0.25,0.5,0.375,0.25,0.5,0.25,0.625,0.5,0.25,0.625,0.5,0.75,0.125,1.,0.125,0.25,0.75,0.625,0.5,0.625,0.625,0.,0.375,0.5,0.5,0.125,0.,0.625,0.25,0.375,0.,0.125,0.,0.,0.,0.25,0.25,1.,0.625,0.125,0.,0.25,0.375,0.125,0.375,0.25,0.125,0.125,0.,0.625,0.625,0.25,0.125,0.125,0.75,0.5,0.25,0.5,0.75,0.,0.,0.625,0.75,0.375,0.,0.125,0.25,0.625,0.5,0.5,0.25,0.125,0.25,1.,0.5,0.125,0.625,0.25,0.75,0.375,0.25,0.,0.125,0.25,1.,1.,0.375,0.25,0.25,0.25,0.125,0.,0.25,0.,0.,0.125,0.,0.25,0.5,0.25,0.125,0.,0.5,0.125,0.,0.625,0.125,0.125,0.,0.75,0.,0.25,0.125,0.25,0.75,0.375,0.5,0.375,0.75,0.5,0.75,0.625,0.375,0.,0.25,0.375,0.125,0.375,0.625,0.375,0.375,0.125,0.5,0.25,0.125,0.125,0.375,0.375,0.5,0.125,0.,0.25,0.375,0.,0.,1.,0.375,1.,0.125,0.,0.,0.,0.375,0.,0.375,0.25,0.125,0.,0.125,0.25,0.25,0.25,0.625,0.125,0.375,0.25,0.625,0.125,0.,0.5,0.125,0.5,0.375,0.25,0.625,0.5,0.,0.375,0.25,0.375,0.625,0.625,0.6,1.,0.4,0.6,0.2,0.6,0.4,0.6,1.,0.4,0.2,0.4,0.6,1.,0.2,0.6,0.4,0.6,0.2,0.2,0.6,0.6,0.2,0.2,0.6,0.6,0.6,0.2,0.4,0.6,0.2,0.6,0.6,0.4,1.,1.,0.6,0.6,0.4,0.,0.2,0.4,0.,0.6,0.4,0.6,1.,0.2,0.6,0.2,0.2,0.4,0.2,0.4,0.6,0.2,0.,0.6,0.6,0.6,1.,0.4,0.2,0.6,0.4,0.4,0.2,0.2,0.4,0.2,0.4,0.4,0.6,0.,0.6,0.4,0.4,0.4,0.4,0.2,0.6,0.4,0.4,0.4,0.4,0.6,0.4,0.4,0.2,0.2,0.2,0.6,0.4,0.,0.2,0.4,0.2,0.2,0.4,0.6,0.4,0.4,0.6,0.6,0.4,0.4,0.2,0.2,0.2,0.4,0.6,0.4,0.4,0.4,0.6,0.6,0.6,0.6,0.,0.6,0.2,0.6,0.6,0.,0.2,0.6,0.2,0.2,0.4,0.6,0.2,0.2,0.2,0.4,0.4,0.4,1.,0.2,0.4,0.,0.4,0.2,1.,0.6,0.4,0.4,0.6,0.2,0.4,0.,0.4,0.2,0.4,0.6,1.,0.,0.4,0.6,0.4,0.,0.4,0.2,0.6,0.2,0.2,0.6,0.2,0.6,0.,0.2,0.2,0.4,0.6,0.4,0.6,0.4,0.2,0.4,0.4,0.2,0.2,0.4,0.6,0.2,0.6,0.4,1.,0.4,0.6,0.6,0.4,0.6,0.6,0.6,0.6,0.2,0.4,0.4,0.2,0.2,0.75,0.25,0.,0.,0.5,0.25,0.5,0.5,0.25,0.,0.25,0.25,0.25,0.5,0.5,0.25,0.25,0.25,0.75,0.25,0.25,0.,1.,0.5,0.75,0.5,0.25,0.25,0.25,0.,0.25,0.25,0.5,0.25,0.25,0.25,0.5,0.25,0.5,0.5,0.5,0.,0.25,0.25,0.25,0.25,0.,0.5,0.5,0.5,0.25,0.25,0.,0.5,0.5,0.5,0.5,0.25,0.25,0.25,0.,0.25,0.25,0.25,0.5,0.,0.25,0.5,0.75,0.25,0.25,0.25,0.25,0.25,0.25,0.5,0.,0.25,0.25,0.5,0.25,0.25,0.,0.75,0.25,0.25,0.25,0.25,0.25,0.5,0.25,0.5,0.25,0.25,0.75,0.25,0.5,0.5,1.,1.,0.25,0.25,0.5,0.75,0.25,0.25,0.5,0.25,0.,0.5,0.,0.25,0.75,1.,0.75,0.25,0.25,0.,0.25,0.75,0.25,0.5,0.25,0.5,0.5,1.,0.,0.5,0.5,0.5,0.25,0.5,1.,0.25,0.25,0.25,0.75,0.,0.75,0.25,0.25,0.25,0.25,0.5,0.25,0.5,0.5,0.25,0.5,0.25,0.,0.75,1.,0.5,0.25,0.,0.75,0.25,0.75,0.75,0.25,0.25,0.25,0.5,0.,0.25,0.75,0.25,0.,0.,0.5,0.25,0.25,0.,0.5,0.25,0.25,0.75,1.,0.25,0.25,0.5,0.75,0.25,0.5,1.,0.5,1.,0.25,0.,0.25,0.25,0.5,0.25,0.5,0.,0.5,1.,0.5,0.5,0.4,0.4,0.2,0.4,0.4,0.4,0.4,1.,0.,0.4,0.4,0.4,0.2,1.,0.2,0.4,1.,0.4,0.6,0.,0.6,0.4,0.2,0.2,0.6,1.,0.6,0.2,0.2,0.2,0.6,0.4,0.6,0.4,0.2,0.6,0.6,0.2,0.4,1.,0.4,0.2,0.6,0.,0.2,0.6,0.2,0.2,0.4,0.4,0.,0.4,1.,0.2,0.6,0.6,0.2,0.2,0.6,0.6,0.4,0.,0.4,0.2,0.6,0.4,0.6,0.6,1.,0.4,0.2,0.4,0.4,0.,0.4,0.4,0.,0.6,0.2,0.6,0.4,0.4,0.2,1.,0.6,1.,1.,0.4,0.4,0.4,0.6,0.4,0.6,0.4,0.6,0.6,0.4,0.6,0.6,0.4,0.6,0.2,0.6,0.6,0.4,0.6,0.4,0.4,0.4,1.,0.,0.,0.4,0.6,0.,0.4,0.2,0.2,0.,0.6,0.4,0.4,0.2,0.4,0.4,0.2,0.4,0.4,0.2,1.,0.6,0.6,0.6,0.4,0.,0.4,0.4,0.2,0.6,0.4,1.,0.4,0.4,0.2,0.4,0.6,0.4,0.4,0.4,0.6,0.6,0.4,0.4,0.4,0.6,0.2,0.4,0.6,0.6,0.4,0.4,0.2,0.4,0.6,0.4,0.4,0.6,0.4,0.4,0.4,0.4,0.,0.4,0.4,0.4,0.6,0.2,0.6,0.,0.6,0.4,0.2,0.4,0.6,0.6,0.4,0.6,1.,0.6,0.,0.6,0.,0.6,0.2,0.6,0.,0.4,0.6,0.4,0.4,1.,0.33333333,1.,0.,0.16666667,0.66666667,0.,0.66666667,0.16666667,0.,0.5,0.,1.,0.5,0.,0.,0.16666667,1.,1.,0.33333333,0.33333333,1.,0.33333333,0.,0.66666667,0.16666667,0.33333333,1.,0.16666667,0.16666667,0.16666667,0.83333333,1.,0.83333333,0.33333333,0.33333333,1.,0.,0.33333333,0.66666667,0.16666667,0.,0.,0.66666667,0.,0.33333333,0.83333333,0.66666667,1.,0.33333333,0.66666667,1.,0.16666667,0.33333333,1.,0.33333333,0.66666667,1.,1.,0.33333333,1.,1.,1.,1.,0.,0.83333333,0.,0.33333333,1.,0.33333333,0.,0.,1.,1.,0.33333333,0.33333333,0.,1.,0.16666667,0.83333333,0.,0.33333333,0.16666667,0.16666667,0.,0.5,1.,0.16666667,0.,1.,0.66666667,0.33333333,0.33333333,0.16666667,0.66666667,0.5,0.16666667,0.16666667,0.16666667,1.,0.,1.,0.16666667,0.33333333,0.33333333,0.33333333,0.33333333,0.,1.,0.33333333,1.,0.,0.,1.,1.,0.33333333,0.16666667,0.,0.5,1.,0.33333333,1.,0.66666667,0.66666667,1.,0.16666667,0.,0.83333333,0.83333333,1.,0.33333333,0.16666667,0.83333333,0.,0.33333333,1.,1.,1.,0.,0.16666667,0.16666667,0.5,0.16666667,0.33333333,0.33333333,0.33333333,1.,0.,1.,1.,0.5,1.,0.66666667,0.,1.,0.,1.,0.66666667,1.,1.,0.33333333,1.,0.33333333,1.,0.,0.16666667,0.66666667,0.33333333,0.5,0.,1.,0.33333333,0.33333333,0.33333333,1.,0.33333333,0.83333333,0.5,1.,0.33333333,0.66666667,0.33333333,0.66666667,0.5,0.66666667,0.,0.5,0.5,0.,0.5,1.,0.5,1.,0.33333333,0.33333333,0.,0.,0.33333333,0.16666667,0.]</t>
  </si>
  <si>
    <t>[0.5,0.375,0.625,0.75,0.625,0.875,0.75,0.75,0.125,1.,0.5,0.125,0.25,0.5,1.,1.,0.625,0.5,0.5,0.625,0.25,0.125,0.25,0.75,0.,1.,0.25,0.125,0.5,0.375,0.5,0.625,0.125,0.75,0.625,0.,1.,0.,0.,0.75,0.625,0.375,0.375,0.,1.,0.5,0.625,0.25,0.5,0.625,0.5,0.,0.25,0.375,0.25,0.625,0.75,0.375,0.25,0.25,0.125,0.25,0.25,0.25,0.375,0.,0.25,0.,0.375,0.5,0.625,0.125,0.5,0.25,0.625,0.75,0.375,0.375,0.5,0.25,0.125,0.5,0.125,0.25,0.375,0.375,0.25,0.375,0.75,0.625,0.75,0.5,0.75,0.75,0.,0.625,0.375,0.25,0.125,0.375,0.625,0.75,0.25,0.25,0.25,0.25,0.25,0.25,0.375,0.25,0.125,0.,0.25,0.5,0.,0.125,0.,0.375,0.25,0.,0.625,0.,0.375,0.5,0.125,0.,0.625,0.75,0.375,0.25,0.25,0.25,1.,0.5,0.625,0.375,0.375,0.25,0.125,0.125,0.375,0.5,0.25,0.5,0.375,1.,0.625,0.25,0.375,0.5,0.75,0.375,0.25,0.75,0.375,0.125,1.,0.,0.375,0.625,0.625,0.,0.625,1.,0.375,0.75,0.25,0.,0.,0.625,1.,0.,0.5,0.75,0.25,0.75,0.25,0.75,0.5,0.375,0.375,0.375,0.375,0.25,0.375,0.25,0.125,0.75,0.125,0.,0.375,0.,1.,0.,0.5,0.625,0.625,0.125,0.5,0.875,0.2,0.,0.6,0.4,0.4,0.2,0.4,0.2,0.4,0.4,0.6,0.6,0.6,0.4,0.4,0.2,0.6,0.6,0.2,0.4,0.6,0.6,0.4,0.4,0.6,0.2,1.,0.4,1.,0.4,0.4,0.6,0.4,0.6,1.,1.,0.6,0.,0.6,0.4,0.2,0.4,1.,0.,0.6,0.6,0.6,0.6,0.4,0.4,0.2,0.4,0.4,0.6,0.6,0.6,0.,1.,0.6,0.4,1.,0.6,0.2,1.,0.6,0.4,1.,0.2,0.4,0.,0.6,0.4,0.4,0.4,0.6,0.4,1.,0.6,0.6,0.6,0.6,0.2,1.,1.,0.4,0.6,0.4,0.4,0.6,0.2,0.4,0.2,0.,0.4,0.6,0.4,0.6,1.,0.4,0.4,1.,0.6,0.4,0.6,0.6,0.4,0.2,0.6,0.6,0.4,0.6,0.4,1.,0.4,0.4,0.4,0.6,0.,0.2,0.6,0.4,0.4,0.6,0.6,0.6,0.4,0.6,0.4,1.,0.4,0.4,0.6,0.2,0.6,0.6,0.4,0.4,0.6,0.,0.6,0.4,0.4,0.4,0.6,0.4,0.6,0.2,0.2,0.6,0.,0.4,0.6,1.,0.2,0.2,1.,0.4,0.2,0.6,1.,0.4,0.4,0.4,0.4,0.4,0.4,0.4,0.6,1.,0.6,0.4,1.,0.4,0.4,0.6,0.4,0.4,0.,0.6,0.2,0.,0.4,1.,0.4,0.2,1.,0.4,0.6,0.6,1.,0.6,0.6,0.4,0.4,0.6,0.2,0.4,0.2,0.4,0.4,0.25,0.25,0.25,0.5,0.5,1.,0.5,1.,0.25,0.25,0.25,0.75,0.25,0.75,0.5,0.5,0.25,0.25,1.,0.5,0.25,0.75,0.75,0.5,0.75,0.25,0.75,0.25,0.5,0.25,1.,1.,0.5,0.25,0.25,0.25,0.75,0.5,0.25,1.,0.25,0.25,0.75,0.25,0.5,1.,0.,1.,1.,1.,0.25,0.25,0.25,1.,0.75,0.5,0.75,0.5,0.5,0.25,0.25,0.75,0.5,0.25,0.25,0.25,0.25,0.5,0.75,0.5,0.25,0.75,1.,0.5,0.25,0.5,0.5,0.75,0.5,1.,0.75,1.,0.,0.75,0.5,0.25,0.25,0.25,0.25,1.,0.5,0.5,0.75,0.5,1.,0.75,0.5,1.,0.75,1.,0.25,0.25,0.25,0.75,0.5,0.75,0.75,0.5,0.25,0.5,0.,0.25,1.,0.75,0.5,1.,0.25,0.25,0.25,0.5,0.,0.75,0.5,0.25,1.,1.,0.5,0.5,0.25,1.,0.5,0.5,0.5,0.,0.5,0.25,1.,1.,1.,0.25,0.25,1.,0.75,0.5,1.,0.5,0.5,0.25,1.,0.5,0.75,1.,1.,0.75,1.,0.75,1.,0.5,1.,1.,1.,0.75,0.5,0.5,0.25,0.25,1.,1.,0.5,0.25,1.,0.5,0.5,0.5,0.75,0.,0.5,0.5,1.,0.25,0.5,0.25,0.25,0.25,1.,0.25,0.25,0.5,1.,0.25,0.5,0.,0.5,0.,0.5,0.,0.,1.,1.,1.,0.2,0.4,0.6,0.6,0.4,0.4,0.6,1.,0.2,0.4,0.6,0.6,0.2,0.4,1.,0.6,0.4,0.4,0.2,0.6,0.6,0.4,0.6,0.2,0.6,0.4,0.6,1.,0.4,0.4,0.4,0.6,0.6,0.2,0.2,0.4,0.6,0.6,0.4,0.6,1.,0.2,0.4,0.2,0.4,0.6,0.4,0.2,0.4,0.4,0.,0.6,1.,0.4,0.4,0.4,0.6,0.6,1.,0.4,0.4,0.2,0.4,0.4,0.6,0.6,0.6,0.4,0.6,0.,0.4,0.4,0.4,0.,0.4,0.6,0.6,1.,0.4,1.,0.2,0.6,0.2,0.6,0.6,0.6,1.,0.4,0.2,0.6,0.6,0.4,1.,1.,0.6,0.4,0.4,0.6,0.6,1.,0.4,0.4,0.6,0.6,0.2,0.6,0.6,0.4,0.4,0.6,0.2,0.4,0.6,0.6,0.6,0.6,0.4,0.,0.2,0.4,0.4,0.6,0.2,0.4,1.,0.2,0.4,0.6,0.6,0.4,1.,0.2,1.,0.4,0.4,0.4,0.4,0.4,0.6,0.4,1.,0.4,0.6,0.2,0.6,0.4,0.4,0.4,0.6,0.4,0.6,0.4,1.,0.4,0.6,0.6,1.,0.4,0.4,0.4,0.4,0.4,0.4,0.4,0.2,1.,0.6,0.4,0.4,0.4,0.4,0.4,0.2,0.6,0.6,0.4,0.4,0.6,0.6,0.6,0.2,0.4,0.4,0.6,0.4,0.2,0.6,0.4,0.8,0.2,1.,0.4,1.,0.2,0.6,0.2,0.4,0.6,0.6,0.6,1.,0.33333333,1.,0.16666667,0.16666667,0.83333333,1.,0.33333333,0.5,0.,0.5,0.,1.,1.,0.,0.5,0.,1.,1.,0.,1.,0.33333333,1.,0.16666667,0.33333333,1.,0.,0.83333333,0.,0.16666667,0.16666667,1.,1.,1.,0.66666667,0.16666667,1.,0.16666667,0.16666667,0.33333333,0.33333333,0.,0.,0.,0.,0.16666667,1.,1.,0.66666667,0.16666667,1.,1.,0.33333333,0.66666667,0.83333333,0.33333333,0.66666667,0.33333333,1.,0.33333333,0.83333333,1.,1.,0.33333333,0.33333333,0.5,0.33333333,0.,0.83333333,1.,0.,0.,0.5,0.83333333,1.,1.,0.,1.,1.,1.,1.,0.66666667,0.,0.33333333,0.,0.83333333,1.,0.33333333,0.,1.,0.33333333,0.33333333,1.,0.66666667,0.66666667,0.,0.16666667,0.33333333,0.33333333,1.,1.,1.,1.,0.66666667,1.,1.,0.66666667,0.16666667,1.,1.,1.,0.16666667,0.33333333,1.,0.66666667,0.33333333,0.33333333,0.,0.83333333,0.16666667,1.,1.,0.5,0.5,1.,0.33333333,0.33333333,1.,0.33333333,1.,0.,0.33333333,1.,0.5,0.5,1.,1.,1.,1.,1.,1.,0.5,1.,1.,1.,0.33333333,0.66666667,0.,1.,0.83333333,0.16666667,1.,0.33333333,0.33333333,0.33333333,0.,1.,0.33333333,1.,0.83333333,1.,1.,0.83333333,0.33333333,0.33333333,0.,1.,0.33333333,0.33333333,0.,1.,0.66666667,0.83333333,0.5,0.33333333,0.33333333,1.,1.,0.83333333,0.,0.33333333,0.66666667,0.5,0.16666667,1.,1.,0.83333333,1.,0.,1.,0.83333333,0.,1.,0.83333333,0.33333333,0.,0.,0.83333333,0.,0.]</t>
  </si>
  <si>
    <t>[0.5,0.125,0.25,0.625,0.625,1.,0.625,1.,0.125,0.625,0.5,0.,0.375,0.375,0.625,0.625,0.75,0.75,0.5,0.75,0.25,0.75,0.25,0.375,0.5,0.25,0.625,0.125,0.5,0.75,0.625,0.25,0.25,0.75,0.75,0.875,0.625,0.,0.25,0.25,0.75,0.,0.25,0.,0.375,0.25,0.75,0.,0.25,0.75,0.375,0.125,0.625,1.,0.125,1.,0.25,0.25,0.75,1.,0.375,0.25,1.,0.625,0.5,0.,1.,0.625,0.875,0.,0.625,1.,0.5,0.25,0.25,1.,0.375,0.75,0.5,0.75,0.5,0.25,0.375,0.375,0.75,0.25,0.375,0.375,1.,0.25,0.625,0.5,0.625,1.,0.25,0.25,0.75,0.75,0.25,0.25,0.625,1.,0.75,0.375,0.25,0.625,0.75,0.25,0.5,0.25,0.25,0.,0.625,0.25,0.,0.625,0.75,0.25,0.375,0.625,0.75,0.,0.25,0.75,0.25,0.,0.625,0.75,0.25,0.25,1.,0.875,0.375,0.,0.5,0.375,0.25,0.,0.125,0.25,0.25,1.,1.,0.25,0.125,0.75,0.5,0.375,0.625,0.625,0.75,0.25,0.375,0.625,0.25,0.375,0.25,0.375,0.25,0.75,0.25,0.5,0.125,1.,0.375,0.375,0.625,0.,0.625,0.625,0.875,0.375,0.5,0.25,0.25,0.25,0.25,0.625,0.25,0.375,0.25,0.375,1.,0.625,0.375,0.25,0.5,0.75,0.25,0.5,0.375,1.,0.75,0.5,1.,0.375,0.5,0.25,0.75,0.75,0.6,0.4,0.4,0.4,1.,0.6,0.2,0.2,0.2,0.4,0.6,0.4,0.6,0.4,0.4,0.2,0.4,0.6,0.2,0.6,0.6,0.4,0.4,0.4,0.6,0.6,0.4,0.6,1.,0.4,0.4,0.4,0.6,0.6,0.6,1.,0.6,0.6,0.2,0.6,0.4,1.,0.6,0.4,0.4,0.4,0.,0.4,1.,0.2,0.4,0.4,1.,0.,0.6,0.,0.6,0.4,1.,0.,0.4,1.,0.6,0.6,1.,0.6,0.6,0.6,0.4,0.2,0.6,0.6,0.4,0.4,0.2,0.6,1.,0.4,0.6,0.2,0.6,0.4,0.4,0.6,0.4,0.4,1.,0.4,0.6,0.4,0.4,0.4,0.4,0.4,0.2,1.,0.6,0.4,0.4,0.6,0.2,0.6,0.4,0.4,1.,0.4,0.4,0.4,0.6,0.6,1.,0.6,0.4,0.4,0.6,0.4,0.6,0.4,0.4,0.6,0.6,1.,0.6,0.,0.6,0.,1.,0.4,0.4,0.4,0.6,0.6,0.4,0.6,0.6,0.,0.4,1.,0.,0.6,0.6,0.6,0.4,0.4,0.2,0.4,0.2,0.2,0.,0.2,1.,0.4,0.4,1.,0.6,1.,0.4,1.,0.4,0.6,0.6,0.6,0.6,1.,0.4,0.2,0.2,0.6,1.,0.6,0.6,0.6,0.4,0.4,1.,0.6,0.4,0.4,0.6,0.6,0.,1.,1.,0.6,0.2,0.6,1.,0.2,0.4,0.6,0.2,1.,0.2,0.4,0.6,0.2,0.6,0.4,1.,0.25,0.25,0.5,0.5,0.5,0.5,0.5,0.5,0.25,0.,0.25,0.25,1.,0.5,0.25,1.,0.5,1.,1.,0.25,0.75,1.,0.5,1.,0.75,0.25,0.5,0.25,0.25,0.5,0.25,0.75,0.5,0.25,1.,0.25,1.,0.25,0.75,0.5,0.25,1.,0.25,0.75,0.5,1.,0.75,0.75,0.5,0.25,0.5,0.5,1.,1.,0.25,0.5,0.25,0.5,0.25,0.75,0.75,0.5,0.25,0.5,1.,0.25,0.5,0.75,0.75,0.25,0.5,0.5,0.5,0.5,0.5,0.5,1.,0.25,0.5,0.25,0.5,0.25,0.75,1.,0.25,0.5,0.25,0.5,1.,1.,0.75,1.,0.25,0.75,1.,0.5,0.5,1.,0.5,0.25,1.,0.75,0.25,0.25,1.,0.75,0.75,0.25,0.5,0.25,0.5,1.,1.,0.5,0.5,0.5,0.5,0.25,1.,0.75,0.75,1.,0.25,1.,1.,0.25,0.5,0.5,1.,0.5,0.5,0.5,0.5,0.25,0.25,0.75,0.75,0.25,1.,0.25,0.5,1.,0.75,0.,0.75,0.5,0.25,1.,0.5,0.75,0.,1.,0.5,1.,0.5,1.,0.75,0.25,1.,1.,0.25,0.5,0.5,1.,0.5,0.75,1.,0.25,0.25,1.,0.25,0.5,0.75,0.75,0.25,1.,1.,1.,0.25,1.,0.5,1.,0.75,1.,0.5,1.,1.,1.,0.75,0.5,0.5,0.75,0.25,0.5,0.5,0.25,1.,0.75,1.,0.6,1.,0.4,0.6,0.4,0.4,0.4,1.,0.,0.4,1.,0.4,0.6,0.4,0.6,0.4,0.4,0.4,0.6,0.6,0.4,0.4,0.6,0.6,0.6,0.6,0.4,1.,0.4,0.4,1.,0.4,0.4,0.6,0.4,0.4,0.4,0.6,0.4,0.6,0.2,0.4,1.,0.4,0.6,0.6,0.6,0.6,0.4,1.,0.2,0.6,1.,0.4,0.6,0.6,0.4,0.6,0.6,1.,0.6,0.4,0.2,0.4,0.4,0.4,0.4,0.6,0.6,0.4,0.4,1.,0.4,0.6,0.6,1.,0.4,0.4,0.4,0.6,0.4,0.4,0.2,0.6,1.,0.4,0.6,0.4,0.6,0.6,1.,0.6,1.,0.4,0.2,0.6,0.6,1.,0.6,1.,0.4,0.4,0.4,0.6,0.6,0.6,0.4,0.4,0.4,0.4,0.6,0.2,0.4,1.,0.2,0.4,0.4,0.6,0.,0.4,0.4,0.4,0.2,0.6,1.,0.2,0.6,0.6,0.6,0.6,1.,0.6,1.,0.2,0.4,0.6,0.4,0.4,0.6,0.4,0.6,0.4,1.,0.4,0.4,0.6,1.,0.4,0.4,0.6,1.,0.4,1.,0.6,0.6,0.6,0.6,1.,0.6,1.,0.6,0.,0.4,1.,0.4,1.,0.4,0.4,0.2,0.4,0.4,0.4,0.4,0.6,0.4,0.6,0.6,0.4,0.4,1.,0.6,0.4,0.4,0.6,0.6,0.6,0.2,1.,1.,0.,0.6,0.4,0.6,0.4,0.6,0.6,0.6,1.,0.4,0.4,0.83333333,1.,1.,0.33333333,0.16666667,0.5,1.,0.5,1.,0.,0.16666667,0.33333333,1.,1.,0.16666667,0.,1.,1.,1.,0.,0.33333333,0.83333333,1.,0.16666667,0.33333333,1.,1.,1.,1.,0.16666667,0.16666667,0.66666667,1.,0.33333333,1.,0.33333333,0.33333333,0.33333333,1.,0.83333333,0.16666667,0.5,0.,1.,0.33333333,0.66666667,1.,1.,0.33333333,0.,1.,1.,0.,0.5,0.66666667,0.,1.,1.,1.,1.,0.16666667,1.,1.,1.,0.,0.66666667,0.,1.,0.83333333,0.33333333,0.,0.,0.33333333,1.,0.33333333,0.83333333,0.,1.,0.33333333,0.83333333,0.,1.,0.,1.,1.,1.,1.,1.,0.,1.,0.,0.33333333,0.66666667,0.33333333,1.,0.66666667,0.,0.83333333,0.33333333,1.,0.66666667,1.,1.,1.,0.5,1.,0.33333333,0.33333333,1.,1.,1.,0.16666667,0.5,1.,0.66666667,0.83333333,0.16666667,0.33333333,1.,0.33333333,0.33333333,1.,0.33333333,1.,0.16666667,0.83333333,0.,1.,0.66666667,1.,0.33333333,1.,1.,0.5,0.5,0.5,1.,1.,1.,1.,0.33333333,0.33333333,1.,1.,0.83333333,0.,0.66666667,0.,1.,1.,1.,1.,1.,0.,0.83333333,1.,1.,0.16666667,1.,1.,1.,1.,0.33333333,0.66666667,0.66666667,0.,0.16666667,1.,0.5,0.,1.,0.83333333,1.,1.,0.16666667,0.5,0.66666667,0.33333333,1.,0.33333333,1.,0.33333333,0.33333333,0.33333333,1.,0.5,0.33333333,0.5,0.33333333,1.,1.,1.,1.,0.33333333,0.33333333,0.,0.5,1.,0.,0.16666667]</t>
  </si>
  <si>
    <t>FigS15_Sim</t>
  </si>
  <si>
    <t>Aggregate - Seen Simulation tasks (Nominal)</t>
  </si>
  <si>
    <t>LBM (UNet) BASE Mix</t>
  </si>
  <si>
    <t>LBM (UNet) OXE Mix</t>
  </si>
  <si>
    <t>LBM (UNet) REAL Mix</t>
  </si>
  <si>
    <t>LBM (UNet) SIM Mix</t>
  </si>
  <si>
    <t>LBM (UNet) UMI Mix</t>
  </si>
  <si>
    <t>Aggregate - Seen Simulation tasks (DistShift)</t>
  </si>
  <si>
    <t>Aggregate - Unseen Simulation tasks (Nominal)</t>
  </si>
  <si>
    <t>Aggregate - Unseen Simulation tasks (DistShift)</t>
  </si>
  <si>
    <t>FigS16A_DiT-FP_Sim_Unseen_Nominal</t>
  </si>
  <si>
    <t>Single Task (DiT-FP)</t>
  </si>
  <si>
    <t>[False, True, True, False, False, True, False, True, False, False, True, False, False, True, True, True, False, True, False, True, True, True, False, True, False, False, True, True, False, False, False, True, False, True, True, True, True, True, True, True, False, True, True, False, True, True, True, True, False, False, False, True, True, True, True, True, True, False, False, True, False, False, True, True, False, False, True, False, False, False, True, True, False, False, True, True, True, True, True, True, True, True, True, True, True, True, False, True, True, True, True, True, False, True, False, False, True, True, False, False, True, True, True, False, True, False, True, True, True, True, False, True, False, True, False, False, True, False, False, True, True, False, False, True, True, False, False, True, True, True, True, True, True, False, True, False, True, False, True, True, True, True, True, False, True, True, True, True, False, True, False, True, False, True, False, False, True, False, False, False, True, True, True, False, True, True, True, False, False, False, False, True, True, True, True, True, False, False, False, True, True, True, True, False, True, False, True, True, True, False, True, True, True, False, False, False, True, True, True, True]</t>
  </si>
  <si>
    <t>LBM (DiT-FP) finetuned</t>
  </si>
  <si>
    <t>[True, True, True, False, True, True, False, True, True, True, True, True, True, False, False, True, True, True, False, True, False, True, False, True, True, False, False, True, True, True, True, True, True, True, False, False, False, True, True, True, True, True, True, True, True, True, False, True, True, True, True, True, True, True, True, True, True, True, True, False, True, True, False, True, True, True, True, True, False, True, False, True, False, True, True, True, True, False, True, True, True, True, False, True, True, True, True, False, False, True, False, True, True, True, True, True, True, True, True, False, True, True, True, True, False, True, True, True, True, True, True, True, True, False, True, True, True, True, True, True, True, False, True, False, True, True, True, True, True, True, True, True, True, False, True, True, True, True, True, True, False, True, False, True, True, True, True, True, True, True, True, True, False, True, True, False, True, True, True, True, False, True, True, True, True, True, True, True, True, True, False, True, True, True, False, True, False, True, True, True, True, True, True, False, True, True, True, True, True, False, True, True, True, True, False, False, False, True, False, True]</t>
  </si>
  <si>
    <t>[True, False, False, False, False, False, True, True, False, False, False, False, False, False, True, False, False, False, True, False, True, False, False, False, False, True, False, False, False, False, False, True, True, True, False, False, True, True, False, False, True, False, False, False, False, True, True, False, False, False, False, True, True, False, False, False, True, True, False, True, False, True, False, False, False, False, True, False, False, False, False, True, True, False, True, True, True, False, True, False, False, True, True, False, True, True, False, False, False, False, True, True, False, True, False, False, False, True, False, True, False, False, True, True, False, False, False, False, False, False, False, False, True, True, True, True, False, True, False, False, False, False, True, True, False, False, False, False, False, True, True, False, False, True, True, False, False, False, True, False, True, False, False, False, True, True, True, False, True, False, False, False, False, True, True, False, False, False, False, False, False, True, False, False, True, False, False, True, False, False, False, False, False, True, False, True, True, False, False, True, False, False, True, False, False, False, True, False, True, False, False, False, False, True, True, False, False, False, False, True]</t>
  </si>
  <si>
    <t>[False, False, False, False, False, True, False, True, False, True, False, False, True, True, False, False, False, True, False, True, True, False, True, False, False, True, False, False, False, False, False, True, False, False, False, False, False, True, False, False, False, True, False, True, False, True, False, True, False, False, False, False, False, False, False, True, False, False, False, True, False, True, False, False, False, True, False, True, True, False, False, True, True, False, False, True, True, False, True, False, False, False, False, True, True, True, False, True, False, True, True, False, False, True, False, True, False, False, False, True, True, False, True, True, False, False, False, True, False, False, True, False, False, True, False, False, False, True, False, False, False, False, False, False, False, True, False, False, False, True, True, False, True, False, False, False, True, False, False, False, False, False, True, True, False, False, True, True, True, False, False, False, False, False, True, False, False, True, False, False, True, True, False, False, False, True, False, False, True, False, False, False, False, False, False, True, False, False, False, True, False, True, True, False, False, False, False, False, False, False, False, False, True, True, False, False, True, False, False, True]</t>
  </si>
  <si>
    <t>[False, False, False, False, True, True, False, False, False, True, False, False, False, False, False, True, True, False, True, True, True, True, False, False, False, False, True, False, True, False, True, False, True, True, True, False, False, False, False, True, True, True, True, False, True, False, True, True, True, True, False, False, True, True, True, False, False, True, False, True, False, False, False, False, False, True, False, True, True, False, True, True, True, True, False, True, True, False, False, True, True, False, False, False, False, False, True, True, True, False, False, False, True, False, False, True, True, True, True, False, True, True, True, True, False, False, True, True, False, False, True, False, False, True, False, False, True, True, True, False, False, False, False, True, False, True, True, True, False, False, True, True, False, True, True, True, False, False, False, True, True, False, True, False, False, False, False, True, True, True, False, False, True, True, True, True, True, True, False, True, True, True, False, False, False, True, True, False, True, False, False, True, True, True, False, True, True, False, True, True, False, False, True, True, False, False, False, True, True, False, False, True, True, True, True, True, True, False, False, False]</t>
  </si>
  <si>
    <t>[True, True, False, True, True, False, False, False, False, False, False, False, False, True, True, True, False, False, False, True, True, True, True, False, True, True, False, False, True, False, True, True, True, False, True, False, True, False, False, False, False, False, False, True, False, False, True, True, True, True, True, True, True, False, True, True, False, True, True, True, False, True, False, True, True, False, True, False, True, True, True, False, False, False, True, True, False, False, True, False, True, True, True, True, False, True, True, True, True, True, True, False, True, True, True, True, True, True, True, True, True, True, True, True, True, False, True, True, False, False, True, True, True, False, True, True, True, True, True, True, True, True, True, True, True, False, True, False, False, True, True, False, True, False, False, False, True, True, False, True, True, False, True, False, False, True, True, True, True, True, False, False, True, False, True, True, False, True, False, True, True, True, False, True, True, False, True, True, True, True, False, True, False, False, False, True, True, True, True, True, True, True, True, True, False, False, True, True, True, False, False, False, True, True, False, False, False, False, True, False]</t>
  </si>
  <si>
    <t>[False, True, True, True, False, True, False, False, True, True, False, False, False, False, True, True, True, True, True, True, True, False, True, True, False, True, False, True, True, True, True, True, True, True, True, True, False, False, False, False, True, False, False, False, True, True, False, True, False, True, False, True, True, True, True, False, False, False, False, True, False, False, False, False, True, False, True, True, False, False, False, True, False, True, True, True, True, True, False, False, True, False, False, False, True, True, True, True, True, True, False, False, False, False, True, True, True, False, True, True, True, True, False, True, False, False, True, False, False, False, True, False, True, True, False, False, True, True, False, False, True, True, False, True, False, False, True, True, True, True, False, False, False, False, False, True, True, False, True, True, True, False, False, True, False, True, False, True, True, True, True, True, False, False, True, False, False, False, True, False, False, True, False, False, False, True, False, False, True, False, True, True, True, False, True, True, False, False, False, False, True, True, False, False, False, False, False, True, False, False, True, True, True, False, False, False, True, True, True, True, False, False, False, True, False, False, True, True, True, True, False, True, False, True, False, False, True, True, True, False, True, False, False, True, False, False, True, False, True, True, False, False, True, True, True, False, True, False, True, False, False, False, False, False, True, True, True, True, True, False, True, True, False, False, False, True, False, True, False, False, False, True, False, True, False, False, True, False, False, False, True, True, True, False, True, False, False, False, False, False, True, True, True, False, True, True, True, True, False, True, False, True, False, True, True, False, False, False, True, True, True, False, True, False, True, False, False, False, True, False, True, True, True, True, False, True, False, False, True, True, True, False, False, False, True, True, True, False, True, False, False, False, False, False, False, False, True, False, False, True, True, True, False, True, False, False, True, True, False, True, False, False, True, False, False, False, True, True, True, False, True, False, False, False, False, False, False, False, True, False, True, True, False, False, False, False, False, True, True, False, True, True, True, True, True, False, True, False, False, False, True, False, True, False, False, False, False, True, True, False, True, True, True, False, True, False, True, False, False, False, False, False, False, True, False, False, True, True, False, False, True, True, False, False, False, False, True, True, False, True, False, True, False, False, True, True, True, False, False, False, False, True, True, True, False, False, True, False, True, True, False, False, True, False, True, True, True, True, False, False, True, True, False, True, True, True, True, False, False, False, False, False, False, False, False, False, True, False, True, False, True, True, False, False, True, False, False, True, False, True, True, False, True, False, True, True, True, True, False, False, True, True, True, True, False, False, False, False, True, False, True, True, False, False, True, True, False, True, True, True, True, True, True, True, True, False, False, True, False, True, False, False, True, False, False, False, False, False, True, False, False, True, False, True, True, False, True, False, True, True, False, True, True, True, True, False, True, True, False, True, False, False, True, False, True, False, False, True, False, False, False, False, True, True, False, True, True, True, True, True, False, False, False, False, True, True, True, True, True, False, False, True, True, False, False, True, True, False, False, False]</t>
  </si>
  <si>
    <t>[True, True, False, True, False, True, False, False, True, True, True, True, True, True, True, True, True, True, True, False, False, False, True, True, True, False, True, False, False, False, True, False, True, True, True, True, True, False, False, True, True, False, False, False, True, True, True, True, True, False, True, True, True, False, False, True, False, False, False, True, True, True, False, True, True, True, True, True, False, True, True, False, True, False, False, False, False, True, True, True, False, False, False, True, False, False, False, True, False, True, False, True, True, False, False, True, False, True, False, False, True, False, False, False, False, True, False, False, False, True, False, False, True, False, True, True, True, True, True, False, False, True, True, True, True, True, False, False, False, True, False, False, False, False, True, True, False, True, True, True, True, True, False, False, True, False, False, True, True, False, False, True, False, False, False, True, False, True, True, False, False, False, True, True, True, False, True, True, False, False, False, True, False, False, False, True, True, True, False, True, True, False, True, True, False, True, True, True, True, False, False, True, True, False, False, False, True, True, False, True, False, True, True, False, True, False, False, False, False, False, True, True, True, True, True, True, False, True, False, True, True, True, True, True, True, False, True, True, True, False, False, True, False, False, True, False, True, True, True, True, True, True, True, True, True, True, False, True, True, False, False, False, True, True, False, False, True, True, False, True, False, True, True, True, False, True, True, True, False, False, False, True, True, False, True, True, True, True, True, False, True, True, True, False, False, True, False, True, True, True, True, False, False, False, False, True, True, True, True, True, True, False, True, True, True, True, True, True, False, True, True, True, True, False, True, False, True, True, True, False, False, True, True, True, False, True, False, False, True, True, True, False, True, True, True, True, False, False, False, False, True, True, True, True, False, True, True, True, False, False, False, True, True, False, True, True, True, False, True, True, True, True, False, True, False, False, False, True, True, True, False, True, True, False, True, False, True, False, False, True, True, True, False, True, True, False, True, False, False, True, True, True, True, True, False, False, True, True, True, True, False, False, True, True, True, True, True, False, True, False, True, True, True, False, False, False, False, True, True, False, False, True, True, False, False, True, True, True, True, True, False, False, False, True, True, True, True, True, True, True, True, True, True, False, True, False, True, True, False, True, False, False, True, True, True, False, False, False, True, True, False, True, True, False, True, False, True, False, True, False, True, True, False, False, False, True, True, True, False, True, False, True, True, False, False, False, False, False, True, True, False, True, True, False, True, False, False, False, True, False, True, True, True, True, True, False, True, True, True, False, False, False, True, False, True, True, False, True, False, False, True, True, False, True, False, True, False, True, False, True, True, False, False, True, False, False, False, True, True, True, True, True, True, False, False, False, True, True, False, False, True, False, False, False, False, True, True, True, False, True, True, False, False, True, True, False, True, True, True, True, True, False, False, False, True, True, False, False, False, True, True, True, True, True, False, False, True, False, True, False, True, False, True, True, False, False, True, False, False, True]</t>
  </si>
  <si>
    <t>FigS16A_DiT-FP_Sim_Unseen_DistShift</t>
  </si>
  <si>
    <t>[False, True, False, True, True, False, True, True, False, False, False, True, False, False, True, False, False, False, True, True, True, True, True, False, True, True, True, False, True, True, False, False, False, True, True, False, False, True, False, True, False, False, False, True, True, False, False, False, False, False, True, False, True, True, True, False, True, False, True, False, True, False, False, False, False, True, True, True, False, True, False, False, True, False, True, False, True, True, True, True, False, False, False, True, False, True, False, True, True, False, True, False, False, False, False, True, True, False, True, True, True, True, True, False, True, True, False, True, True, False, True, False, False, False, False, True, True, True, False, True, False, False, True, True, True, False, True, True, True, True, True, True, True, False, False, False, True, False, False, False, False, True, True, False, True, False, True, False, True, True, True, True, False, False, True, False, False, False, True, False, True, True, False, True, True, True, True, False, False, False, True, True, False, False, True, False, False, False, False, True, False, True, False, False, False, True, False, False, False, False, True, True, False, True, True, False, False, True, True, True]</t>
  </si>
  <si>
    <t>[False, True, True, False, True, True, True, True, False, False, False, True, True, False, True, False, True, True, True, True, False, True, True, True, True, False, True, False, True, True, True, True, False, False, False, False, True, True, True, True, True, True, True, True, True, False, False, True, True, True, True, True, True, True, False, True, False, False, True, False, True, True, True, True, True, True, True, True, True, True, False, True, True, True, True, False, True, False, True, True, True, True, False, True, True, True, False, True, False, True, False, False, True, True, True, True, True, False, True, True, True, True, True, False, True, False, True, True, True, True, True, True, True, False, False, True, True, True, True, False, True, False, True, True, True, False, True, True, True, False, True, True, False, False, True, False, False, True, True, True, True, True, False, True, True, True, False, True, True, True, False, True, True, True, True, True, True, False, True, False, True, True, True, True, True, True, False, False, True, False, False, True, True, True, True, True, True, True, False, True, True, True, True, False, True, True, True, True, True, False, True, True, True, False, False, True, True, True, True, True]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</si>
  <si>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</si>
  <si>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True, False, False, False, False, False, False, False, False, False, False, True, False, False, False, False, False, False, False, False, False, False, False, False, False, False, False, False, False, True, True, False, False, False, True, False, False, False, False, False, False, False, False, True, False, False, False, False, False, False, False, False, True, False, True, True, False, False, False, True, False, True, False, False, True, False, True, False, False, False, False, True, True, False, True, False, False, False, False, False, True, True, False, True, True, True, False, False, False, True, False, False, False, False, False, True, False, False, False, True, True, False, False, True, False, False, False, False, False, False, False, False, False, False, True, False, True, False, False, False, False, False, False, False, False, False, False, False, False, False, False, False, True, False, False, False, False, False, False, True, False, False, False, False, False, True, False, True, True, False, False, False, False, True, True, False, False, False, True, False, False, False, False, False, False, False, False, True, False, False, False, True, True, True, False, False, False, False, False, False, False, False, False, False, False, False]</t>
  </si>
  <si>
    <t>[False, False, False, False, False, False, False, False, False, False, True, True, False, False, False, False, False, False, True, False, True, True, True, False, True, True, True, False, True, False, False, True, False, True, True, False, False, False, True, False, False, True, False, False, True, True, True, False, False, False, True, True, False, True, False, False, False, True, False, True, False, False, False, True, False, False, False, False, False, True, False, False, False, True, False, True, False, False, False, False, True, False, True, False, False, True, False, False, False, False, False, False, True, False, True, True, True, True, False, True, True, False, False, True, False, True, False, False, False, False, False, False, False, False, True, True, False, False, True, True, False, True, False, True, False, False, False, True, False, False, False, True, False, True, True, True, True, False, False, True, False, False, False, False, False, False, True, True, True, False, False, True, False, False, False, False, False, True, False, True, True, True, False, False, False, False, True, False, True, False, False, True, False, True, False, True, False, True, True, False, False, False, True, True, False, False, False, False, True, False, False, True, False, True, True, False, False, True, True, False]</t>
  </si>
  <si>
    <t>[True, False, True, True, False, True, True, False, False, True, False, True, True, True, True, True, False, True, False, True, False, False, True, False, True, False, False, True, True, False, True, True, False, False, False, False, True, False, True, True, False, False, True, False, True, True, True, False, False, True, False, True, True, False, True, False, True, False, False, False, True, True, False, False, True, False, False, True, True, False, False, True, True, True, True, True, False, True, False, True, True, True, False, False, False, True, False, True, True, False, True, True, False, False, True, True, True, True, False, True, True, True, True, True, True, False, True, True, True, False, True, False, True, False, False, True, True, True, True, True, True, True, True, True, False, False, True, False, False, True, True, True, False, True, True, True, True, False, True, False, True, False, True, False, False, True, False, True, True, False, True, False, False, False, True, True, True, False, False, True, True, True, False, False, False, False, False, True, True, True, True, False, True, True, False, False, True, True, True, True, False, False, True, True, False, True, False, False, True, True, False, True, False, False, False, False, True, True, True, True]</t>
  </si>
  <si>
    <t>[True, True, False, False, False, False, True, False, False, False, False, False, False, False, False, False, False, False, False, True, False, False, False, True, False, True, False, False, True, False, True, True, True, True, False, True, False, False, False, False, True, False, False, False, False, True, True, True, False, True, False, False, False, True, False, True, False, False, False, False, False, False, False, False, True, False, False, True, False, False, False, True, False, False, False, False, False, True, False, False, False, False, False, False, False, False, True, False, False, False, False, True, False, True, False, False, False, False, False, True, False, False, True, True, False, False, True, False, False, False, False, False, True, True, False, False, False, False, False, False, False, True, False, True, False, False, True, False, True, True, True, False, True, False, True, True, True, False, True, True, False, False, False, False, False, False, False, False, False, False, False, False, False, False, False, False, False, False, True, False, False, True, False, False, True, True, False, False, False, False, False, False, False, False, False, False, True, True, False, False, True, False, False, False, False, False, False, False, True, True, True, False, False, False, False, False, False, True, False, False, False, False, False, False, False, False, False, True, False, False, False, False, True, False, False, False, True, True, False, False, True, False, False, False, False, False, False, False, True, False, False, False, True, False, False, False, True, False, False, False, False, False, False, False, True, False, False, True, True, True, False, False, False, False, True, True, False, False, False, False, False, False, False, False, True, False, True, True, True, False, False, False, False, False, True, True, False, False, False, True, False, True, False, False, False, True, False, False, True, False, False, True, True, True, True, False, True, False, True, False, True, False, True, False, False, False, False, False, True, False, False, False, True, True, True, False, False, False, False, True, False, False, False, True, False, False, True, False, True, False, False, False, False, False, True, False, False, True, False, True, False, True, True, False, False, False, True, False, False, True, False, True, True, True, True, False, False, False, True, False, True, False, True, False, False, True, True, True, False, False, False, True, True, False, False, False, False, True, False, False, False, False, False, False, True, False, False, False, False, False, False, False, False, False, False, False, False, False, True, False, False, True, False, False, False, False, False, False, False, False, False, False, False, True, False, False, True, False, False, False, False, True, False, False, False, False, True, False, False, True, False, True, False, True, True, False, False, False, False, True, False, False, True, False, False, False, True, False, False, False, False, True, True, False, False, False, True, False, False, False, False, False, False, False, False, False, True, False, True, False, False, True, False, False, False, False, False, False, False, False, False, True, False, False, True, False, True, False, False, False, True, True, False, False, True, True, True, True, True, False, False, False, True, True, True, True, False, True, False, False, False, False, False, True, True, False, False, True, True, True, False, False, True, False, False, False, False, True, False, False, True, False, False, False, True, True, False, False, True, False, False, False, False, False, False, True, True, True, False, False, False, False, False, True, False, True, True, False, False, True, True, False, True, False, True, False, False, True, True, True, False, False, False, False, False, False, True, False, False, False, True, True, True, True, False, False, False, False, False, False, False, False, True, False, False, False, True, False, False, False]</t>
  </si>
  <si>
    <t>[True, True, False, True, False, True, False, False, False, True, True, True, False, False, False, True, True, True, True, True, False, False, True, True, True, False, False, False, True, True, False, True, False, True, True, True, True, True, False, True, False, False, False, False, False, True, False, True, True, False, True, False, True, False, False, True, False, False, False, True, True, True, False, False, False, False, True, False, False, False, False, False, True, False, False, False, True, True, True, False, False, True, False, True, True, True, False, True, True, True, True, True, True, False, False, False, False, True, False, True, True, True, False, True, True, False, False, False, False, True, True, True, False, False, True, True, False, True, True, True, False, True, False, True, False, True, True, False, False, True, False, False, False, False, False, True, False, True, True, False, True, True, True, False, False, True, True, True, True, False, True, False, False, True, False, True, True, False, True, False, True, True, True, False, False, True, True, False, False, True, False, True, False, False, False, False, False, True, True, False, False, False, False, True, True, True, False, False, True, False, True, True, False, False, True, False, False, False, False, True, False, False, True, True, True, True, True, False, True, False, True, False, True, True, False, True, False, True, False, True, True, True, False, True, False, True, False, False, False, False, False, True, False, False, False, False, True, False, False, False, True, True, True, True, False, True, False, False, True, True, False, True, False, False, False, True, False, True, False, False, True, True, False, True, False, True, False, True, False, False, True, True, True, False, True, True, False, False, True, True, False, True, True, False, False, True, False, False, False, True, True, False, False, False, True, True, True, True, True, False, False, False, False, False, True, False, False, True, False, True, True, True, False, False, False, True, True, True, False, True, False, True, False, True, False, True, False, False, True, False, False, False, True, True, True, True, True, True, False, False, False, True, False, True, False, True, False, True, False, False, True, False, True, False, True, False, False, False, True, True, True, True, False, True, False, True, True, True, True, True, False, False, False, False, True, False, True, True, False, True, True, True, False, True, True, True, True, True, True, False, True, False, False, True, True, False, False, True, False, True, False, False, True, True, False, True, True, True, True, False, True, True, False, False, False, True, False, False, True, False, True, True, False, True, False, True, False, True, True, True, False, False, True, False, False, True, False, True, True, True, False, False, True, True, False, False, False, True, True, True, True, False, True, True, True, False, True, True, True, False, False, True, True, True, True, False, True, False, False, True, True, False, True, False, False, True, True, True, True, True, False, True, True, False, True, True, True, True, True, False, False, True, False, True, True, False, True, False, False, False, False, False, True, True, False, False, False, False, True, False, False, False, True, True, True, False, False, True, False, True, False, True, False, True, False, True, False, True, False, True, False, False, False, False, False, False, False, True, False, False, True, False, False, True, False, False, True, False, False, False, False, False, False, False, False, False, False, False, False, True, True, False, False, True, True, True, False, True, True, True, False, False, False, True, False, True, True, False, False, True, True, True, True, True, False, False, False, False, True, False, True, True, True, False, False, True, True, False, False, True]</t>
  </si>
  <si>
    <t>FigS16B_UNet-DP_Sim_Unseen_Nominal</t>
  </si>
  <si>
    <t>Single Task (UNet-FP)</t>
  </si>
  <si>
    <t>[False, True, False, True, False, True, False, True, True, True, True, True, False, True, True, True, False, True, True, True, True, True, False, True, False, False, False, False, False, False, False, False, False, False, True, False, True, False, True, False, False, False, False, True, True, False, False, False, True, True, True, True, True, True, True, False, False, False, False, True, False, False, True, False, True, False, True, True, False, True, False, False, False, True, True, True, True, True, True, False, False, True, True, True, True, False, True, True, True, True, True, True, True, True, False, False, True, True, True, False, True, True, False, True, True, True, True, True, False, True, True, False, False, False, False, True, True, False, True, False, True, True, False, False, True, False, True, False, False, True, True, False, True, False, False, True, True, True, True, True, False, True, True, False, False, False, True, True, True, False, True, True, False, False, True, False, True, False, False, False, True, True, False, False, False, True, False, False, False, False, False, True, True, True, True, True, True, True, False, True, True, False, True, True, True, True, True, False, True, False, False, True, True, False, False, False, True, True, True, False]</t>
  </si>
  <si>
    <t>LBM (UNet-FP) finetuned</t>
  </si>
  <si>
    <t>[True, False, True, False, True, True, True, True, False, True, True, True, True, True, True, True, True, True, True, True, False, True, True, True, True, True, False, True, True, True, True, False, True, True, True, True, True, True, True, True, True, True, True, False, True, False, True, True, True, True, True, True, True, True, True, False, True, True, True, True, True, True, True, True, True, True, True, True, True, True, False, True, True, True, True, False, True, False, True, False, True, True, False, True, True, True, True, True, True, True, True, False, True, True, True, True, True, False, True, False, True, False, True, False, True, True, False, True, True, True, True, True, True, True, True, False, True, True, True, True, True, True, True, True, True, True, True, True, True, True, True, False, True, True, True, False, True, True, True, True, True, True, True, True, True, True, True, True, False, False, True, True, True, True, True, True, True, False, True, True, False, True, True, True, True, True, True, True, False, True, False, True, True, True, False, True, True, True, True, True, True, True, True, True, True, True, True, True, True, False, True, True, True, False, False, True, True, True, True, True]</t>
  </si>
  <si>
    <t>[True, False, False, False, True, True, False, False, False, False, True, False, False, False, True, True, False, False, True, True, True, False, True, True, False, True, True, False, True, False, True, True, True, True, False, True, True, True, True, False, True, False, True, True, True, True, False, False, False, True, False, True, True, False, True, True, True, True, False, True, False, True, True, True, False, True, True, False, True, False, True, True, True, True, False, False, True, True, True, False, True, True, True, True, True, True, True, False, False, False, True, True, False, True, True, True, True, True, True, True, True, False, True, True, False, False, True, False, False, True, True, True, True, True, True, False, False, False, True, True, True, True, True, True, True, True, True, True, True, True, True, True, False, True, True, True, True, False, True, True, True, True, True, True, True, True, True, False, True, False, False, True, False, True, True, False, True, False, False, False, False, True, False, False, False, True, True, True, True, False, True, False, False, True, False, True, True, False, False, True, True, True, False, False, False, False, True, False, True, False, True, True, True, True, True, True, True, True, False, True]</t>
  </si>
  <si>
    <t>[True, True, True, False, False, True, False, False, False, True, True, False, True, False, False, False, False, True, True, False, True, False, True, False, False, True, False, False, True, False, True, True, True, True, False, False, False, True, True, True, False, True, False, True, True, True, True, False, True, True, False, False, False, True, False, False, True, True, True, True, False, False, True, False, False, True, True, True, True, True, False, True, True, True, False, True, True, True, True, True, False, True, False, True, False, True, False, True, False, True, True, True, True, True, True, False, True, True, True, True, True, True, True, True, False, False, False, True, True, True, False, True, True, True, True, False, True, True, True, True, True, True, False, True, False, True, False, True, True, True, True, False, False, True, False, True, False, False, False, True, True, True, True, True, True, True, True, True, True, True, True, True, False, True, True, False, False, True, False, False, True, True, False, False, True, True, True, False, True, True, True, True, True, False, False, False, False, True, False, True, False, False, True, False, True, True, True, True, True, True, False, False, True, False, True, True, False, False, False, True]</t>
  </si>
  <si>
    <t>[False, True, True, True, True, True, False, True, False, True, False, True, False, True, False, True, False, False, True, False, True, True, False, True, False, True, False, True, True, True, True, True, False, False, True, False, True, False, False, False, True, True, True, False, True, False, True, True, False, False, False, True, False, True, True, False, False, False, False, True, False, True, False, True, True, False, True, False, False, False, True, False, False, True, False, True, False, False, False, True, False, False, False, False, True, True, True, True, False, False, False, True, True, False, False, True, True, True, False, False, True, False, True, True, True, True, True, False, False, False, False, True, False, False, False, False, True, False, True, False, False, True, True, True, False, True, False, False, False, False, False, True, False, True, True, False, True, False, True, False, True, False, True, False, True, True, True, True, False, False, True, False, True, True, False, False, False, True, False, False, False, False, True, False, False, False, True, False, False, True, False, True, False, False, False, True, False, False, False, False, False, False, True, False, True, True, True, False, True, False, False, True, False, True, False, True, True, False, False, False]</t>
  </si>
  <si>
    <t>[True, True, False, False, True, True, False, False, False, False, False, False, True, False, False, False, False, True, True, False, True, False, True, False, False, False, False, True, False, False, False, False, True, False, True, False, True, False, False, False, True, False, True, False, False, True, False, False, True, True, True, True, True, False, True, True, False, False, False, False, True, False, True, False, True, False, False, True, True, False, True, True, False, False, False, False, False, True, True, True, False, False, False, False, True, False, True, False, True, False, False, False, True, True, True, False, True, False, True, False, True, False, False, True, False, False, True, False, True, False, True, True, False, True, True, True, True, True, True, True, False, False, True, True, False, True, True, True, True, True, True, True, True, False, False, True, True, True, True, True, True, True, True, False, False, True, True, False, True, False, True, True, False, True, False, True, True, False, True, False, True, True, True, True, False, False, False, False, True, True, True, True, True, True, False, True, True, True, False, False, True, False, False, True, False, True, True, False, True, True, True, True, False, True, False, False, True, True, True, False]</t>
  </si>
  <si>
    <t>[True, True, False, True, False, True, True, True, False, True, False, False, False, False, True, True, True, False, False, False, False, False, True, True, False, True, True, True, True, True, False, False, False, True, True, True, True, False, False, True, True, False, True, True, False, True, False, False, False, True, False, False, True, True, True, False, False, False, True, True, True, False, True, False, True, True, True, True, False, False, True, True, True, False, True, True, False, False, True, False, False, False, True, False, True, False, True, True, False, True, True, True, True, True, True, False, True, False, True, False, False, True, False, True, True, False, False, False, False, True, False, False, True, True, False, False, False, False, False, True, True, True, False, False, True, False, True, False, False, True, False, True, False, True, True, True, False, False, True, True, True, False, True, True, False, False, True, True, True, False, True, True, False, False, True, False, False, False, True, False, True, False, False, True, True, False, True, False, True, True, True, True, True, True, False, False, True, False, True, False, False, True, True, True, False, True, True, False, True, False, True, False, True, False, True, False, True, True, True, True, False, False, False, True, True, False, True, True, False, True, False, True, False, False, True, False, True, True, True, False, True, True, False, True, False, True, True, False, False, True, False, True, True, True, False, False, False, False, False, True, False, True, False, True, True, True, False, True, False, False, True, True, False, True, True, False, False, True, False, True, False, False, True, True, False, False, False, False, False, True, True, False, True, False, True, True, True, False, True, False, True, True, False, False, False, True, False, False, False, True, True, False, False, True, True, True, False, False, True, True, True, True, True, True, False, True, True, False, True, True, True, True, True, True, True, True, False, False, True, True, True, False, False, True, False, True, True, True, False, False, False, True, False, False, False, True, True, True, True, False, False, True, False, True, False, True, True, True, False, True, False, False, True, False, False, False, True, True, True, True, True, True, False, False, False, True, True, False, True, True, True, False, False, True, False, False, True, True, True, True, True, True, False, True, False, False, True, False, True, True, True, False, True, False, False, False, True, True, True, False, False, True, False, False, True, False, True, False, True, False, False, False, True, True, False, False, False, True, True, True, True, True, False, True, True, False, True, False, False, True, True, True, False, False, False, True, False, False, True, False, True, False, False, False, True, False, False, True, False, False, False, False, False, False, True, True, True, True, False, True, True, True, False, False, True, True, True, False, False, True, True, True, True, True, False, False, False, True, True, True, True, True, False, True, False, False, False, False, True, True, True, False, True, True, True, True, False, True, False, True, True, True, True, True, False, True, False, True, False, True, True, False, True, False, True, True, True, True, False, True, False, False, True, False, True, True, True, True, False, True, True, True, True, False, True, True, True, True, False, False, False, True, False, True, False, True, False, True, True, False, False, True, True, False, True, True, True, False, True, False, False, False, False, True, True, False, False, True, False, True, True, False, False, True, True, True, True, False, False, True, True, False, True, False, True, False, True, False, True, True, False, True, True, False, False, True, True, True, True, True]</t>
  </si>
  <si>
    <t>[False, False, False, True, True, False, False, True, True, True, True, True, False, True, True, True, True, True, False, True, False, True, False, True, True, False, True, False, False, False, False, False, True, True, True, False, True, True, False, True, True, True, False, True, True, True, False, True, True, True, True, True, True, True, False, True, False, False, False, True, True, False, False, True, True, True, True, True, True, True, True, True, True, False, False, True, True, False, False, False, True, True, False, True, True, True, True, False, False, False, False, True, True, True, True, True, True, True, False, True, False, True, False, True, True, False, True, False, False, True, True, True, True, True, True, True, True, True, True, True, False, True, True, True, True, True, True, True, False, False, False, False, True, True, False, False, True, True, True, False, True, True, True, False, True, True, False, True, True, True, False, False, True, True, True, False, False, True, False, False, True, True, True, False, True, True, True, True, False, True, False, True, False, True, False, False, True, True, True, False, True, True, False, True, True, True, False, True, True, True, True, True, False, False, True, False, True, True, True, True, False, True, True, True, True, False, False, False, True, False, True, True, True, True, True, True, False, False, True, True, True, True, False, False, False, True, False, False, True, True, False, False, True, True, False, False, True, True, True, True, True, True, True, True, True, True, True, True, True, True, True, True, True, True, False, False, False, True, False, True, True, True, True, True, True, False, True, True, False, True, False, True, False, False, True, True, True, True, True, False, True, True, False, False, False, False, True, True, False, True, True, False, True, False, True, True, True, True, True, True, False, False, False, False, True, True, False, True, False, True, True, True, True, False, True, True, True, True, True, True, True, True, False, True, True, True, True, True, True, False, False, False, True, True, True, True, False, True, True, True, True, True, True, True, False, True, False, True, True, True, True, True, False, False, True, True, False, True, True, True, True, False, True, True, True, True, True, True, True, True, False, True, True, False, True, True, True, False, False, True, False, True, False, True, True, True, True, False, False, True, False, True, True, False, True, False, True, False, False, False, True, True, True, True, False, False, True, True, False, False, False, True, True, True, True, True, False, True, True, True, False, True, True, True, True, False, True, False, False, False, False, False, True, True, False, False, True, True, True, False, False, True, True, False, False, False, True, True, True, False, True, False, True, True, False, True, False, True, False, True, False, True, False, True, True, False, False, True, True, True, True, True, False, False, False, True, False, False, False, True, True, False, True, True, True, True, True, True, True, False, False, True, True, True, True, False, True, True, True, True, True, True, True, True, False, False, True, False, True, False, False, True, True, True, True, False, True, True, False, True, True, True, True, True, True, True, True, True, True, True, True, True, False, True, False, True, False, True, False, True, True, True, True, False, True, True, True, True, True, False, True, False, True, False, False, True, False, False, False, True, True, True, True, False, True, False, False, True, False, True, False, False, True, False, True, True, True, True, True, True, True, True, True, True, False, False, True, False, True, True, True, True, True, True, True, True, True, True, False, True]</t>
  </si>
  <si>
    <t>FigS16B_DiT-FP_Sim_Unseen_Nominal</t>
  </si>
  <si>
    <t>[False, True, False, False, True,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True, False, False, False, True, False, False, False, False, True, False, False, False, False, True, False, False, True, False, False, False, False, False, False, False, False, False, False, False, False, False, False, True, False, False, False, False, False, False, False, False, False, False, False, False, False, False, False, False, False, True, False, True, False, False, False, False, False, False, False, False, True, False, False, False, False, False, False, False, False, True, True, False, True, False, False, True, False, False, False, False, False, False, True, False, False, False, False, False, False, False, False, False, False, False, False, True, False, False, False, False, False, False, False, False, True,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True, False, False, False, False, False, True]</t>
  </si>
  <si>
    <t>[True, True, True, True, True, False, True, False, True, True, True, True, True, True, True, True, False, True, False, True, False, False, True, True, True, True, False, False, False, True, False, False, True, True, True, True, False, True, True, True, True, True, False, False, True, False, False, True, True, False, True, True, True, True, False, False, True, False, False, False, True, True, True, True, False, True, True, True, True, True, True, True, True, False, True, True, True, False, True, True, True, True, True, True, True, True, True, True, False, True, False, True, True, True, True, True, True, False, True, True, True, False, True, False, True, True, False, True, True, False, True, False, False, True, False, False, True, True, True, True, False, True, True, True, True, False, True, True, False, True, True, True, True, False, False, True, False, False, True, True, True, False, False, True, False, False, True, False, True, False, False, True, True, True, False, True, True, True, False, False, False, True, True, True, True, True, False, False, False, True, True, False, True, True, True, True, True, True, False, True, True, True, False, True, True, True, True, True, True, False, True, True, False, True, True, True, True, True, True, True]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</si>
  <si>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True, False, False, False, False, False, False, False, False]</t>
  </si>
  <si>
    <t>[True,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True, False, False, False, False, False, False, False, False, True, False, False, False, False, False, False, True, False, False, False, False, False, False, False, False, False, False, False, False, False, True, False, False, False, False, True, False, False, False, False, False, False, False, True, False, False, True, False, False, False, False, False, True, False, False, False, False, False, False, False, False, False, False, False, False, False, True, False, False, False, False, True, False, False, True, False, True, True, False, False, False, False, False, False, False, False, False, False, False, False, False, False, True, False, False, False, False, False, False,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True, True, True, False, False, False, False, False, False, False, False, False, False, False, False]</t>
  </si>
  <si>
    <t>[False, False, False, False, False, False, False, False, False, False, False, False, False, False, False, True, False, False, False, False, False, True, False, False, True, True, False, False, True, True, False, False, False, True, True, False, False, False, True, True, False, False, False, False, False, False, False, False, False, False, False, True, False, False, False, False, False, False, False, False, False, False, False, True, False, False, False, False, False, False, True, True, False, False, False, False, True, False, False, True, False, False, False, False, False, False, True, True, False, False, False, False, True, False, False, False, True, False, False, True, False, False, False, False, False, False, False, False, True, False, False, False, False, False, False, False, False, False, True, False, False, False, False, True, True, False, False, True, False, False, False, True, False, False, True, False, True, False, True, True, False, True, False, False, True, False, False, True, False, False, False, False, False, False, False, False, False, False, True, False, False, True, False, False, False, False, False, False, True, False, True, True, False, True, False, False, True, False, True, True, True, False, True, True, False, False, False, True, False, False, False, True, False, True, True, False, False, False, False, False]</t>
  </si>
  <si>
    <t>[True, False, False, False, False, True, True, False, False, False, False, False, True, True, False, False, False, True, False, False, True, False, False, False, False, False, False, True, False, True, True, True, False, False, False, False, True, False, False, False, True, False, True, True, False, False, False, False, False, False, False, False, True, False, False, True, False, False, False, True, False, False, False, False, False, False, True, False, False, False, False, False, True, False, False, True, False, False, False, True, False, False, True, False, True, False, False, True, True, False, True, False, True, False, True, False, True, False, False, True, False, False, False, True, True, True, True, False, True, False, False, True, False, False, False, False, False, False, False, True, False, True, False, False, False, False, False, True, False, True, True, True, False, True, True, False, False, True, False, False, False, False, True, True, False, True, False, False, True, True, False, False, False, False, False, False, False, True, True, False, True, True, True, True, False, True, False, True, False, False, True, True, False, False, True, False, True, False, False, False, False, False, True, False, True, True, False, True, False, False, False, False, False, False, True, False, True, False, False, False]</t>
  </si>
  <si>
    <t>[False, False, True, False, False, False, False, False, False, False, False, False, False, False, False, False, False, False, False, False, False, False, False, True, False, True, False, True, False, False, False, True, False, True, False, True, False, False, False, True, False, False, False, False, True, True, True, True, False, False, False, False, False, False, False, False, False, False, False, False, True, False, False, False, True, False, False, False, False, False, False, False, False, False, False, False, False, True, False, False, False, False, False, False, True, False, False, False, True, False, False, True,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True,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True, True, False, False, False, False, False, False, False, False, False, False, False, False, False, False, False, True, False, False, False, False, False, True, False, False, True, False, False, False, True, True, False, False, False, False, False, False, False, False, False, False, True, False, False, False, True, False, True, False, False, False, False, False, False, False, False, False, False, True, False, False, False, False, False, False, False, False, False, False, False, False, False, False, False, False, False, False, True, False, False, False, False, True, True, False, False, False, False, False, False, False, False, False, False, False, False, False, False, False, True, False, False, False, True, False, False, False, False, False, False, False, False, False, False, False, False, False, False, False, False, False, True, False, True, False, False, False, False, False, False, False, False, False, True, False, False, False, False, False, False, False, False, False, False, False, False, False, False, False, False, False, False, False, False, False, False, False, True, False, False, False, True, False, True, True, False, False, False, False, False, False, False, False, False, False, False, True, False, False, False, False, False, False, False, False, False, False, False, False, False, True, False, True, False, False, False, True, False, False, True, False, False, False, False, False, False, False, False, False, False, False, False, False, False, False, True, False, False, False, False, True, False, True, False, False, True, False, False, False, False, False, False, False, False, False, False, False, True, True, False, False, False, False, True,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True, True, False, False, False, True, False, True, False, False, True, False, False, False, False, False, False, True, False, False, True, False, False, False, False, False, False, False, False, False, True, False, False, False, False, False, False, False, False, False, False, True, False, False, False, False, True, False, False, True, False, False, False, False, False, False, False, False, False, False, False, False, False, True, False, False, False, True, False, False, False, False, False, False, False, False, False, False, False, True, False, True, False, False, False, True, True, False, False, False, True, True, False, False, False, False, False, False, False, False, False, False, False]</t>
  </si>
  <si>
    <t>[True, False, False, True, False, True, False, True, False, False, True, False, True, True, False, False, True, True, False, True, False, False, False, True, True, False, False, False, False, False, False, False, True, True, False, True, False, True, False, False, False, False, True, False, False, True, False, True, False, False, True, False, False, False, False, True, False, True, False, True, True, False, False, False, False, False, False, True, True, False, True, False, True, False, False, True, False, False, True, True, True, True, False, False, False, False, False, True, True, False, True, False, True, False, True, False, False, False, False, True, True, False, False, False, True, False, True, False, False, True, False, True, False, False, False, True, False, True, True, False, False, True, True, False, False, True, False, False, False, False, False, False, False, False, False, False, False, False, True, False, True, True, False, False, False, False, True, True, True, False, False, False, False, True, False, False, False, True, False, True, True, True, True, False, True, True, False, False, False, True, False, False, False, False, False, True, True, True, False, False, False, False, False, True, True, True, False, False, False, False, True, True, False, False, False, False, True, False, False, False, False, False, True, True, True, False, False, False, True, False, False, False, True, False, True, True, False, False, True, False, True, True, True, False, False, False, False, False, False, True, False, False, False, False, False, False, False, False, False, True, True, False, False, False, False, True, False, False, False, False, False, False, True, False, False, False, False, True, True, False, True, False, False, False, False, False, False, True, False, False, False, True, False, False, False, False, False, False, False, False, False, True, False, True, False, True, False, True, True, False, True, False, False, False, True, True, False, False, True, True, True, False, False, False, False, False, False, False, False, True, False, False, False, True, False, False, True, True, False, True, False, True, False, True, False, True, False, True, False, False, False, False, False, False, True, True, True, False, False, True, False, True, False, True, True, True, False, False, False, False, True, False, False, False, True, False, False, False, False, False, False, False, False, True, False, False, True, True, True, True, False, False, True, True, True, True, True, True, False, False, True, True, False, True, True, False, True, False, True, False, False, False, False, True, True, False, False, False, False, False, False, False, True, True, True, True, True, True, True, False, False, False, True, False, False, False, False, False, True, False, False, True, False, True, False, True, False, False, False, True, False, False, True, True, True, True, False, False, True, False, False, False, True, False, False, False, False, True, False, False, False, False, True, True, False, False, False, True, False, True, False, True, False, True, True, True, False, False, False, True, True, False, False, True, False, True, True, False, False, True, False, True, True, False, False, False, False, True, False, False, False, True, False, True, False, False, False, False, True, False, False, False, True, True, True, False, True, False, True, False, False, True, True, True, False, False, False, True, False, True, True, True, False, False, False, True, True, True, False, True, True, False, True, False, False, False, True, True, True, True, True, False, True, True, False, False, True, False, True, False, False, False, False, True, False, True, True, True, False, False, True, True, True, False, False, False, False, True, False, False, True, False, False, False, False, False, True, True, False, False, False, True, False, True, False, False, False, False, True, False, True, True, True, False, False, False, True, False, False, True]</t>
  </si>
  <si>
    <t>FigS17A_DiT-FP_Sim_Unseen_Nominal</t>
  </si>
  <si>
    <t>[False, False, False, False, False, False, False, False, False, False, False, False, False, False, False, False, False, False, False, False, False, False, False, False, False, True, False, False, False, False, True,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True, False, False, False, False, False, False, True, False, False, False, False, True, False, True, False, False, False, True, False, False, True, False, False, False, False, False, False, False, False, True, False, False, False, False, False, False, True, False, False, False, False, False, False, False, False, False, True, False, False, False, False, False, False, False, False, False, False, False, False, False, False, True, False, False, False, False, False, False, False, False, False, False, True,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</si>
  <si>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True, False, True, True, True, False, False, False, False, True, True, True, False, False, False, False, True, False, False, True, False, False, False, False, False, False, False, False, False, True, True, False, False, False, False, False, False, False, False, True, False, False, True, False, False, False, True, False, False, True, False, False, True, False, False, False, False, False, True, True, False, False, False, False, False, False, False, True, False, True, False, False, False, False, False, True, True, False, False, False, False, True, False, False, False, True, True, True, False, False, False, True, True, False, True, True, True, False, True, True, False, False, False, True, False, False, False, False, False, False, False, False, False, False, False, False, False, False, False, False, False, False, False, False, True, False, True, False, False, False, False, False, False, False, False, True, False, False, False, True, True, False, True, False, False, False, True, False, True, True, False, False, False, False, False, False, False, True, False, False, True, False, False, False, False, False, False, False, False, False, False, False, False, True, False, False, False, False, False, False, False, False, False, False, False, False, False, True, False, False, False, False, False, False, False, False, False]</t>
  </si>
  <si>
    <t>[False, False, False, False, True, False, False, False, True, False, False, False, False, False, False, False, False, False, False, False, False, True, True, False, True, False, False, False, False, False, False, True, False, False, False, True, True, True, False, False, False, False, True, False, False, False, False, False, False, False, False, False, False, False, False, False, True, False, False, True, False, False, False, False, True, False, False, False, True, False, False, False, True, False, True, False, False, False, False, False, False, False, False, False, False, True, False, False, False, False, False, False, False, True, False, True, False, True, False, True, False, False, False, False, False, True, True, False, False, False, False, False, False, False, False, False, False, False, True, False, False, False, False, True, False, False, True, False, True, False, False, True, False, False, True, False, False, False, False, False, False, True, False, False, False, False, False, False, False, False, False, False, True, False, False, False, False, False, False, False, False, False, False, False, False, False, True, False, False, False, True, False, False, False, False, False, False, False, False, False, False, False, False, False, True, False, False, False, False, False, False, False, False, False, False, False, True, False, True, True]</t>
  </si>
  <si>
    <t>[False, False, False, False, True, False, False, False, False, False, False, False, False, True, False, False, False, False, False, False, False, False, False, False, False, False, True, False, False, True, False, False, False, False, False, True, False, False, True, False, False, False, False, True, False, False, False, False, False, False, False, False, False, False, False, True, False, False, False, False, False, False, False, True, False, True, False, False, False, False, False, False, False, False, False, False, False, False, False, False, False, False, False, False, False, False, True, False, True, False, True, False, True, False, False, False, False, True, False, False, True, False, False, False, False, False, False, False, False, False, False, False, True, False, False, False, False, False, False, False, False, False, False, False, False, False, True, False, True, False, False, False, False, False, False, False, False, False, False, True, False, False, False, False, False, False, False, True, False, False, False, False, False, False, True, True, True, False, False, False, False, False, False, False, True, False, False, False, False, True, True, True, False, False, False, False, True, False, False, True, False, False, False, True, False, False, False, False, False, False, False, False, True, False, True, False, False, False, False, True]</t>
  </si>
  <si>
    <t>[False,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True, False, False, False, False, False, False, False, False, False, True, False, False, False, False, False, False, True, True, False, True, False, False, False, False, False, False, False, False, False, False, False, False, False, False, False, False, False, False, False, False, False, False, False, False, False, False, False, False, False, False, False, False, False, True, False, False, False, False, True, True, False, False, False, False, False, False, False, False, True, False, True, False, False, False, False, False, False, False, False, False, True, False, False, False, False, False, False, False, False, False, False, False, False, False, False, True, False, False, False, False, False, False, False, False, False, False, False, False, False, True]</t>
  </si>
  <si>
    <t>[True, True, False, True, False, False, True, False, False, False, False, True, True, False, False, False, False, False, False, True, False, False, False, False, True, True, False, True, False, False, True, False, False, True, False, False, True, False, False, True, False, False, False, False, False, True, False, True, True, False, False, False, False, True, False, False, False, False, True, False, True, False, True, False, False, False, True, False, False, False, False, False, True, False, True, True, False, True, False, False, False, True, False, False, False, False, False, True, False, True, True, False, False, False, True, True, False, True, True, True, True, False, False, False, False, True, True, False, False, False, False, True, True, True, False, False, False, False, False, True, False, False, False, False, True, True, False, False, False, True, True, True, False, False, False, True, False, False, True, False, False, False, True, False, True, False, False, False, True, True, False, True, True, True, True, False, True, False, False, True, True, True, True, True, False, False, False, False, False, False, True, False, True, False, True, True, False, False, True, False, False, False, True, False, False, False, False, False, True, False, False, False, False, False, False, False, False, True, False, True]</t>
  </si>
  <si>
    <t>[False,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True, False, False, False, False, False, False, False, False, False, False, False, False, False, False, False, False, False, False, True, False, False, False, False, False, False, False, True,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</si>
  <si>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True, True, False, False, True, False, True, True, True, False, False, False, False, False, False, False, False, False, False, False, False, True, False, False, False, False, True, False, False, False, False, False, False, False, False, False, False, False, False, False, False, False, False, False, False, False, False, True, False, False, False, True, True, False, False, False, False, False, False, False, False, False, False, False, False, False, True, False, False, False, False, True, False, False, False, False, False, False, False, True, False, False, False, False, True, False, True, True, False, False, True, False, False, False, True, True, False, False, False, True, False, False, False, False, False, False, False, False, False, False, False, False, False, False, False, False, False, False, True, False, False, False, False, False, False, False, True, False, False, False, False, False, False, False, False, False, False, False, False, False, False, False, False, False, False, False, False, False, False, False, False, True, True, True, True, False, True, True, False, False, True, False, False, True, True, False, False, False, False, False, False, False, True, True, False, False, True, True, False, False, False, True, False, False, True, False, False, False, False, False, False, False, False, True]</t>
  </si>
  <si>
    <t>[True, True, True, False, False, False, False, True, False, False, False, False, True, True, True, False, False, True, True, False, True, False, True, True, False, False, False, True, True, False, False, True, False, False, True, False, False, False, False, False, False, False, True, False, False, True, False, True, True, False, True, True, False, True, False, False, False, False, True, True, True, False, False, False, True, False, False, False, True, True, False, False, False, False, False, False, True, False, False, True, True, False, False, False, False, False, False, True, False, True, True, False, True, True, True, False, False, True, True, True, True, True, False, True, False, True, True, True, True, False, False, False, True, True, False, True, False, True, True, False, False, True, True, True, True, True, False, False, False, True, False, True, True, False, False, True, True, True, False, True, True, False, False, True, True, False, True, False, True, True, False, True, False, True, True, True, True, True, False, True, True, True, False, False, False, False, False, False, False, False, True, True, False, True, False, False, False, False, True, False, True, True, False, False, True, True, True, False, False, True, False, False, True, False, False, True, False, True, False, False]</t>
  </si>
  <si>
    <t>[True, True, True, False, False, True, False, False, False, False, True, True, True, False, True, False, False, True, True, True, False, False, True, False, True, True, False, True, False, False, False, False, True, False, True, True, False, False, False, False, False, True, False, False, True, False, True, True, True, False, True, False, False, False, False, True, False, True, True, False, False, True, True, False, True, False, False, False, False, False, False, False, True, False, False, False, False, True, True, True, False, True, False, True, False, False, False, True, True, True, True, False, True, False, False, False, False, False, True, False, False, False, True, True, False, True, False, True, True, False, True, False, True, True, True, False, False, True, True, False, True, True, False, False, True, False, False, False, True, True, False, False, False, False, False, False, True, True, True, True, True, False, False, True, True, False, False, False, True, True, True, False, True, False, True, False, False, False, False, True, True, False, False, False, False, False, True, False, False, False, False, True, False, False, True, False, True, True, False, False, True, False, True, False, False, False, False, True, False, False, False, False, True, True, True, False, False, False, True, False]</t>
  </si>
  <si>
    <t>[False, False, False, False, False, False, False, False, False, False, False, False, False, False, False, False, False, False, True, True, False, False, False, False, False, False, False, False, False, False, False, False, False, False, False, False, False, False, False, False, True, False, False, False, False, False, False, False, False, False, False, False, False, False, False, False, False, False, True, False, False, False, False, False, False, False, False, False, False, False, False, False, True, False, False, False, False, True, False, False, True, False, False, False, True, False, False, False, True, False, False, True, False, False, True, False, True, False, False, True, False, False, False, False, False, False, True, False, False, False, True, False, False, False, True, False, True, False, False, True, False, False, False, False, True, True,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True, False, False, True, False, False, True, True, False, False, False, False, False, False, False, False, False, True,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True, False, False, False, False, False, False, False, False, False, False, False, False, True, False, False, False, False, False, False, False, False, False, False, True, False, False, False, True, False, False, False, False, True, False, True, False, False, False, False, False, False, False, False, True, False, False, False, False, False, True, False, False, False, False, False, False, False, False, False, True, False, False, False, False, False, False, True, True, True, False, False, False, False, True, True, False, False, False, False, False, False, False, False, False, False, False, True, True, False, False, False, False, False, False, False, False, True, False, False, True, False, True, False, False, False, False, False, False, False, False, False, True, False, False, True, False, False, False, True, False, True, True, False, False, False, False, False, False, False, False, False, False, False, False, True, False, False, False, False, False, False, False, True, False, False, False, True, False, True, True, False, False, True, False, True, False, False, True, False, False, False, False, False, False, True, False, False, False, False, False, True, False, True, False, False, False, False, False, False, False, False, True, False, False, False, False, False, False, True, False, False, False, False, False, False, True, False, False, False, False, True, False, True, False, False, False, True, False, False, False, False, True, False, True, False, True, False, True, False, False, False, False, False, False, False, False, False, False, False, False, False, False, False, True, False, False, False, False, False, False, False, False, False, False, True, False, False, False, False, False, False, False, False, False, False, True, False, True, False, False, True, False, False, False, False, False, False, False, False, False, False, False, False, False, False, False, True, False, False, False, False, True, False, False, False, False, False, False, False, False, True, False, False, False, False, False, False, True, False, False, False, False, False, False, False, False, False, False, False, False, False, False, True, True, False, False, False, False, True, False, False, False, False, False, False, False, False, False, False, True, False, False, False, False, False, False, True, True, False, False, False, False, False, False, True, False, True, False, False, True, False, False, False, False, False, False, False, False, True, False, False, False, False, False, True, False, False, False, True, False, True, False, False, False, False, True, False, False, False, False, False, False, True, False, False, True, False, False, False, False, False, False, False, False, False, True, False, True, False, False, False, True, True, False, False, False, False, False, False, True, False, False, True, False, False, False, False, False, False, False, False, False, False, False, False, False, False, True, False, False, False, True, False, False, False, False, False, False, False, False, True, False, False, False, False, False, False, False, True, False, False, False, True, False, False, False, False, True, False, False, True, False, False, True, False, True, False, False, False, False, False, True, False, False, False, True, False, True, True, False, False, False, False, False, False, False, False, False, True, False, False, False, False, True, False, False, False, False, False, False, False, False, True, False, True, False, True, False, False, True, False, False, False, False, False, False, False, False, False, False, False, False, True, False, True, False, False, True, False, False, False, False, False, False, False, False, False, False, True, False, False, False, True, False, False, False, True, False, False, False, False, False, False, False, False, True, False, True,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True, True, False, False, False, False, False, False, False, False, False, True, False, False, False, False, False, False, True, False, False, False, False, True, True, False, False, False, False, True, True, False, False, False, False, False, False, False, True, False, False, False, False, False, False, False, False, False, False, False, True, False, False, True, False, False, False, False, False, False, False, False, False, False, False, False, True, True, False, False, False, False, False, False, False, False, False, False, True, False, False, False, True, True, True, False, False, False, False, True, True, True, False, False, False, False, True, False, False, True, True, True, False, False, False, False, False, False, False, False, False, False, False, False, False, False, True, False, False, True, False, False, False, False, False, False, False, True, False, True, False, False, False, False, False, False, True, True, False, True, False, False, False, False, False, False, False, False, False, False, True, False, True, False, False, False, False, True, True, True, False, True, False, False]</t>
  </si>
  <si>
    <t>[True, False, False, False, False, False, False, False, False, False, False, False, True, False, True, True, False, False, False, False, False, True, True, False, True, False, False, False, False, False, False, False, False, False, False, False, False, False, True, False, False, False, False, False, False, False, True, True, False, False, False, False, True, True, False, True, True, True, False, False, False, False, False, True, False, False, False, False, False, True, True, False, True, True, False, False, True, False, True, False, False, True, False, False, True, False, False, False, False, False, False, True, True, True, True, True, False, False, True, False, False, False, False, False, False, False, False, False, False, False, False, False, False, False, False, False, False, False, False, False, False, False, True, True, False, False, False, False, False, False, False, False, False, False, True, True, False, True, False, True, False, False, False, True, False, False, False, False, True, False, False, True, True, False, False, False, False, True, False, False, False, True, False, False, False, False, False, False, False, True, False, True, False, True, False, True, False, False, True, False, False, True, False, False, True, False, True, True, False, False, False, False, False, False, False, False, False, False, True, False, False, False, False, False, False, False, False, False, True, False, True, False, False, False, False, False, False, False, False, False, False, False, False, False, False, True, False, False, False, False, True, True, False, True, False, True, True, False, False, False, False, False, False, False, False, False, False, True, False, True, True, True, True, False, False, True, False, False, False, False, False, False, False, False, False, True, False, False, False, False, False, False, False, True, True, True, True, False, False, False, False, False, False, False, False, True, False, True, True, False, False, False, False, True, True, False, False, True, False, False, False, False, True, False, False, False, False, False, False, False, False, True, True, False, True, True, True, False, False, True, False, False, False, False, True, False, True, True, True, False, True, False, False, False, False, False, False, True, False, True, True, False, False, False, False, True, True, False, False, True, False, False, False, False, False, False, False, True, False, False, True, True, True, False, False, True, False, False, False, True, False, True, False, False, False, True, False, False, True, False, False, False, False, True, False, False, False, True, False, True, False, False, False, False, True, False, False, False, True, True, False, True, True, False, False, False, False, False, False, False, True, False, False, False, False, True, False, False, False, False, True, True, False, True, False, True, False, True, False, False, False, True, True, False, False, False, True, True, False, False, True, True, False, True, True, False, False, False, True, False, True, True, True, True, False, False, True, False, False, False, False, False, False, True, True, True, False, False, False, False, False, False, False, False, False, True, True, True, False, True, False, False, False, False, False, False, False, False, False, False, False, True, False, True, True, False, False, False, True, False, False, False, False, False, False, False, True, False, True, True, False, False, False, False, False, False, True, False, True, False, False, True, False, False, False, False, False, False, False, False, False, True, False, True, False, False, False, False, False, False, False, True, True, False, False, False, False, False, False, False, True, False, False, True, False, False, False, False, False, False, False, False, True, False, False, False, False, False, False, False, False, True, False, False, False, False, False, False, True, False, True, False, False, False, False, False, False, False, False, False, False, False, True, False, False, False, False, False, False, False, False, True, False, True, False, False, False, True, False, True, True, True, False, True, True, False, False, True, False, False, False, False, False, False, False, False, False, False, False, False, False, False, True, True, False, False, False, False, False, True, False, True, False, True, False, True, False, True, False, False, True, True, False, False, True, False, True, True, False, False, False, True, False, False, False, False, False, True, False, False, True, False, True, True, False, False, False, False, False, False, True, False, False, False, False, True, False, False, False, False, False, False, False, False, False, True, False, False, False, False, False, False, True, False, False, False, False, False, True, False, False, False, False, False, False, False, False, False, False, False, False, False, False, False, False, True, False, False, False, False, False, True, True, False, True, False, True, True, False, True, False, False, False, False, False, False, False, True, False, False, False, True, False, False, False, False, False, True, False, False, False, True, False, False, True, False, False, False, False, False, False, True, False, False, False, False, False, False, True, True, True, True, True, False, True, False, False, False, True, False, False, False, False, False, False, False, False, False, False, True, False, False, False, False, False, True, False, True, False, False, True, False, True, False, True, False, False, True, False, True, True, True, False, True, False, False, False, False, False, False, True, False, False, False, False, False, True, False, False, False, True, False, False, False, False, True, False, False, False, True, False, False, False, False, False, True, True, True, False, False, False, True, False, True, True, True, False, False, False, True, True, True, False, False, True, False, False, False, False, False, False, False, False, False, False, True, False, True, True, False, False, False, False, False, False, False, False, True, False, True, True, False, True, True, False, False, True, False, False, False, True, False, False, False, False, True, False, False, False, True, False, True, False, False, False, False, False, False, False, False, True, True, True, False, True, False, True, True, False, True, False, False, False, False, False, False, True, True, True, False, False, True, True, True, False, False, False, False, False, True, False, False, False, False, False, False, False, False, False, True, True, False, False, False, True, False, True, False, False, False, True, True, False, False, False, True, False, False, True, True, False, False, False, False, False, False, False, False, False, True]</t>
  </si>
  <si>
    <t>FigS17B_UNet-DP_Sim_Unseen_Nominal</t>
  </si>
  <si>
    <t>Single Task (UNet-DP)</t>
  </si>
  <si>
    <t>[False, False, False, False, True, False, False, False, False, False, False, False, True,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False]</t>
  </si>
  <si>
    <t>LBM (UNet-DP) finetuned</t>
  </si>
  <si>
    <t>[False, False, False, True, False, False, False, False, False, False, False, False, True, False, False, False, True, False, False, True, False, False, False, False, False, True, False, False, False, False, True, False, False, True, False, False, False, True, False, True,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True, False, False, True, False, False, False, False, True, False, False, False, False, False, False, False, False, False, False, False, False, False, False, False, False, False, False, False, False, False, False, False, False, True, False, False, False, True, False, True, False, False, False, False, False, False, False, False, True, False, True, False, True, False, False, False, False, False, False, True, False, True, False, False, False, False, False, True, False, False, False, False, False, False, False, False, False, False, False, False, False, False, False, False, False, False, False, False, False, False, False, False, True, False, False, True, False, False, False, True, False, False, False, True, True, False, False]</t>
  </si>
  <si>
    <t>[False,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True, False, True, False, False, False, False, False, True, False, False, False, False, False, False, False, False, False, False, False, False, False, False, False, False, False, False, False, False, False, False, False, False, True, False, False, False, True, False, True, False, False, False, False, False, False, False, False, False, False, False, False, False, False, False, False, False, False, False, False, False, True, False, True, False, False, False, False, False, False, False, True, False, False, False, False, False, False, False, False, False, False]</t>
  </si>
  <si>
    <t>[False, False, False, False, False, False, False, True, False, False, False, False, False, False, False, False, False, False, False, False, False, False, False, False, False, False, True, False, False, False, False, True, False, False, True, True, False, False, False, False, False, False, False, True, False, False, False, False, False, False, False, False, True, True,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True, False, True, False, False, False, False, True, False, False, False, False, False, True, False, False, False, False, True, False, False, True, False, True, False, False, False, False, True, False, False, True, False, True, True, False, False, False, False, False, False, False, False, False, False, True, False, True, False, False, False, False, True, False, False, False, False, False, False, False, False, True, True, False, False, False, True, False, True, False, False, False, False, False, True, False, True, False, True, True, False, False, False, False, False, False, False, False, False, True, False, False, False, False, False]</t>
  </si>
  <si>
    <t>[False, False, False, False, False, False, False, False, False, False, False, False, False, False, False, False, False, False, True, True, False, False, False, False, True, False, False, False, False, False, False, False, False, True, False, False, False, False, False, True, False, False, False, False, False, True, False, False, True, False, False, False, False, True, True, False, False, False, True, False, False, False, False, False, False, False, False, False, False, False, False, False, False, True, False, False, False, False, False, False, False, True, False, True, False, False, False, False, False, False, True, False, False, False, False, False, False, False, False, False, False, False, False, False, False, True, False, False, False, False, False, False, True, False, False, False, False, False, False, False, False, False, False, False, True, False, True, False, True, False, False, False, True, False, False, False, False, False, False, True, False, False, True, False, False, False, False, False, False, False, False, True, False, False, False, False, False, False, True, True, False, False, False, False, False, False, False, False, False, False, False, False, False, False, False, False, True, False, True, True, False, False, False, False, True, False, False, False, False, False, True, False, False, False, False, False, False, True, False, True]</t>
  </si>
  <si>
    <t>[True, False, False, False, False, False, False, False, False, False, False, False, True, False, False, False, False, False, True, True, False, True, False, False, True, True, False, False, False, False, False, False, False, False, False, False, False, False, False, True, True, False, False, False, False, True, False, False, True, True, False, False, False, True, True, False, False, False, False, False, False, True, False, False, False, True, False, False, True, False, False, False, False, True, False, False, False, False, False, True, False, False, False, False, True, False, False, False, False, False, False, False, False, False, False, False, False, False, False, False, False, False, False, True, False, False, False, False, False, False, False, True, True, False, False, False, False, False, False, True, False, False, False, False, False, True, False, False, False, False, False, True, False, False, False, False, True, False, True, False, False, False, True, False, False, False, False, True, True, False, False, False, True, False, True, False, True, False, True, True, True, False, False, False, False, False, False, False, False, False, False, True, False, False, False, False, False, False, False, False, False, False, True, False, True, False, True, True, False, False, False, False, True, False, False, False, True, False, False, True]</t>
  </si>
  <si>
    <t>[False,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True, False, False, True, False, False, False, False, False, False, False, False, False, False, False, False, False, False, False, False, False, False, False, True, False, False, False, False, False, False, False, False, False, False, False, False, True, True, False, False, False, False, False, False, True,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True, True, False, False, False, False, False, False, False, False, False, False, False, False, False, False, False, False]</t>
  </si>
  <si>
    <t>[False, False, False, False, False, False, False, True, False, False, True, False, False, False, False, False, False, False, False, False, False, False, False, True,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True, False, False, False, False, True, False, False, False, False, True, False, True, False, False, False, False, False, False, False, False, False, True, False, False, False, False, False, False, False, False, False, True, False, False, False, False, False, True, False, False, False, False, False, False, False, False, False, False, False, True, False, False, False, False, False, True, True, True, False, False, False, False, False, False, False, False, False, True, True, False, True, False, False, False, False, False, False, True, False, False, False, False, True, True, False, False, False, False, True, False, False, False, False, False, False, False, False, False, False, False, False, True, True, True, False, False, False, True, False, False, False, False, True, False, False, True, True, False, False, False, False, False, False, False, False]</t>
  </si>
  <si>
    <t>[False, True, True, False, True, True, False, True, False, False, False, False, True, False, False, False, True, True, True, False, False, False, True, False, True, False, False, True, True, False, False, False, False, False, True, False, True, False, False, True, False, False, True, False, False, False, False, False, False, True, True, True, False, True, True, False, True, False, False, False, False, False, True, False, False, False, False, False, False, True, False, False, False, True, True, True, False, False, False, True, False, False, True, False, True, False, True, True, True, True, False, False, True, True, True, True, False, True, True, True, True, True, True, False, False, False, True, False, True, False, True, False, False, True, False, False, False, True, True, False, False, False, False, True, False, False, False, False, False, True, False, False, True, False, False, True, True, True, True, True, False, False, True, True, False, False, False, False, True, True, False, False, True, False, True, False, True, True, False, False, False, True, False, True, False, True, False, True, False, False, False, False, False, True, True, True, True, False, False, False, False, False, False, True, False, True, False, True, True, False, True, False, True, False, False, True, False, True, True, True]</t>
  </si>
  <si>
    <t>[False, True, True, False, False, False, False, True, False, False, False, False, True, False, False, False, False, True, True, False, False, True, True, False, False, False, False, True, False, False, True, False, True, False, True, False, True, False, False, False, False, True, False, False, False, False, False, False, True, False, False, True, False, False, False, False, True, False, False, False, True, False, True, False, False, False, False, False, True, False, False, False, False, True, False, False, False, False, False, True, False, False, True, False, True, False, False, True, False, True, False, False, False, False, True, True, False, False, False, False, False, False, False, True, False, False, True, False, True, False, True, False, True, True, True, False, False, True, True, True, False, True, False, True, True, False, False, False, False, True, False, False, False, True, True, True, True, True, False, True, True, False, False, True, False, False, True, False, True, True, False, True, True, False, True, False, True, True, True, False, True, True, False, True, False, False, True, True, False, True, False, False, False, True, True, False, True, False, False, False, True, False, False, False, False, False, False, False, False, False, False, False, True, False, False, False, False, True, False, False]</t>
  </si>
  <si>
    <t>[False, False, False, False, False, False, False, False, False, False, False, True, False, False, False, False, False, False, True, False, False, False, False, False, False, False, True, False, False, False, False, False, False, False, False, False, False, False, False, False, False, False, False, False, True, False, False, False, True, False, True, False, False, False, True, False, False, True, False, False, False, False, False, False, False, False, False, False, False, False, True, False, False, False, False, False, False, False, False, False, False, False, False, False, False, True, True, False, False, False, False, True, False, False, False, False, False, False, True, True, False, False, False, False, False, False, False, False, False, False, True, True, False, False, False, False, False, False, False, True, False, False, False, False, False, False, False, False, False, False, False, True, False, False, True,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True, True, False, False, True, True, False, False, True, False, False, False, False, True, False, False, False, True, False, False, False, False, False, True, False, False, False, False, False, False, True, True, False, False, True, False, False, False, False, False, False, False, False, False, False, False, False, False, False, False, False, True, True,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True, False, False, False, False, False, False, False, False, False, False, False, False, False, False, False, False, False, True, False, False, False, False, False, False, False, True, False, False, False, False, True, True, True, False, False, False, False, False, False, False, False, False, False, False, True, False, True, False, False, False, False, False, False, False, False, False, True, True, False, True, False, False, False, False, False, True, False, False, False, True, False, False, True, True, False, False, False, False, False, False, True, True, False, False, False, False, True, False, False, False, False, False, True, False, False, False, False, False, False, False, True, False, False, False, True, False, True, False, False, False, False, False, False, False, False, True, False, True, False, False, False, False, True, False, False, False, False, False, False, True, False, False, False, False, False, False, False, False, False, True, False, False, False, True, False, False, True,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True, False, False, False, False, False, False, True, False, False, False, False, False, True, False, False, False, False, False, False, True, False, False, True, False, False, False, False, False, False, False, False, False, False, False, False, False, False, False, False, False, False, False, False, False, True, True, True, False, False, False, False, True, False, True, False, False, False, False, True, False, False, False, False, False, False, False, False, True, False, False, False, False, True, False, False, False, False, False, False, False, False, False, False, False, True, False, False, False, False, False, False, True, False, False, False, False, False, False, False, False, False, False, False, False, False, False, False, True, False, False, False, True, True, True, False, False, False, False, False, False, False, False, False, True, False, False, False, False, True, False, True, False, False, False, False, False, False, False, False, False, False, False, True, False, False, True, False, False, False, True, False, False, False, False, False, False, False, True, False, False, False, True, False, False, False, True, True, True, False, False, False, True, True, False, True, False, True,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True, False, False, False, False, False, False, False, True, True, False, False, False, False, False, True, False, False, False, False, False, False, True, False, False, False, False, False, False, False, True, False, False, False, False, False, True, False, True, False, False, False, True, False, False, False, False, False, False, False, False, False, False, False, False, False, False, False, False, False, False, True, False, False, False, True, False, False, False, False, False, False, False, False, False, False, False, False, True, False, False, True, False, False, False, False, False, False, False, False, False, True, False, False, False, False, False, False, False, False, False, False, False, False, False, False, False, False, True, False, False, False, False, True, True, True, False, False, False, True, True, True, False, False, False, False, False, False, False, False, False, False, False, False, True, False, False, False, True, False, False, False, False, False, False, False, False, False, False, False, False, True, False, False, False, True, False, False, False, False, False, False, False, False, True, False, False, False, True, False, False, False, False, False, False, False, False, False, False, False, True, False, False, True, False, False, False, False, False, False, False, True, False, False, True, False, True, False, True, False, True, False, False, False, False, False, False, False, False, False, False, True, False, False, False, True, False, False, False, True, False, False, False, True, False, False, False, True, True, False, False, False, False, False, False, False, False, False, False, False, True, True, True, False, False, False, True, False, True, True, False, False, False, False]</t>
  </si>
  <si>
    <t>[False, False, False, False, False, False, True, False, False, True, False, True, False, False, False, False, True, False, False, False, False, False, True, False, False, False, True, False, True, False, False, True, False, False, False, False, False, False, False, False, True, False, True, False, False, False, True, True, False, False, False, True, False, False, False, False, True, False, True, False, False, False, False, True, False, False, False, False, False, False, True, False, False, False, False, False, False, False, True, True, False, True, False, False, True, False, True, False, False, False, False, False, True, False, False, False, False, False, False, False, False, False, False, False, False, False, False, False, False, False, False, False, False, False, False, False, False, False, False, False, False, False, True, True, True, False, True, False, True, False, True, False, False, True, True, False, True, False, True, False, False, False, False, False, False, True, False, False, True, False, False, True, True, True, False, False, False, True, False, False, False, True, False, False, True, False, False, False, False, False, False, False, True, True, False, False, False, False, False, False, False, False, False, False, False, False, True, True, False, False, True, False, False, True, False, False, False, False, False, True, True, False, False, False, False, False, False, True,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True, False, True, False, False, False, True, False, True, False, False, False, True, False, False, False, True, True, False, False, False, True, False, False, False, True, True, False, True, False, True, True, False, False, False, False, False, False, False, True, True, True, False, False, True, True, False, False, False, False, False, False, True, True, False, False, False, False, False, False, False, False, False, True, False, False, True, False, True, False, False, False, False, False, False, True, False, False, False, False, False, False, False, False, True, False, False, True, True, False, False, False, False, False, True, True, False, True, False, False, False, False, False, False, False, False, True, False, False, False, False, False, True, False, False, False, True, False, False, False, True, False, True, False, False, False, False, False, True, False, False, True, False, False, False, False, False, False, False, True, False, False, False, True, False, False, False, False, False, False, True, False, False, True, False, False, True, True, True, True, False, False, False, False, False, False, True, False, True, False, False, True, False, True, True, False, True, False, False, False, False, False, True, True, False, True, False, True, True, True, False, True, False, True, False, True, False, False, False, False, False, True, False, True, False, False, False, False, False, False, False, False, False, False, False, False, True, False, False, False, False, False, False, True, False, False, False, False, True, False, False, False, False, False, False, False, True, False, False, True, False, True, False, False, True, False, False, False, False, False, True, False, True, False, False, False, False, False, False, False, True, True, False, False, False, True, False, True, False, False, False, False, True, False, False, False, False, False, False, False, False, False, False, False, False, False, False, False, False, False, False, False, True, False, False, False, False, False, False, False, False, False, False, False, False, False, False, True, False, False, True, False, False, True, False, True, True, False, False, False, False, True, False, False, False, False, False, False, False, False, False, False, False, True, True, False, False, False, False, False, False, False, False, True, False, False, False, False, True, False, False, False, False, False, True, True, False, False, False, False, True, False, True, False, False, False, False, True, False, False, False, False, False, False, True, False, False, False, False, False, False, False, False, True, False, False, False, False, False, False, False, False, False, False, False, True, False, True, False, False, False, False, False, False, False, False, True, True, False, False, False, False, True, False, False, False, True, False, True, False, False, True, True, False, False, False, False, False, False, True, False, True, True, True, True, False, False, False, False, False, False, False, False, False, False, False, False, False, False, False, False, False, False, False, False, False, False, False, False, False, False, False, False, False, True,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True, False, False, False, False, False, False, False, False, False, False, False, False, False, False, True, False, False, False, False, False, False, False, False, True, False, False, False, False, False, True, False, True, False, False, False, True, False, False, False, True, True, False, False, False, False, False, False, True, False, False, False, False, True, False, False, False, False, False, True, False, False, False, False, False, True, False, False, False, False, False, False, True, False, False, False, False, False, True, False, False, True, True, True, False, True, False, False, False, False, False, True, False, True, False, False, False, True, False, False, False, False, False, False, False, False, False, False, False, False, True, False, False, False, False, False, False, False, False, False, False, False, False, True, False, False, False, False, False, True, False, True, False, True, False, False, True, False, False, True, False, False, False, False, False, False, False, False, False, False, False, False, False, True, False, True, True, False, False, False, False, False, False, False, False, False, False, False, True, False, False, False, False, False, False, True, False, True, True, False, True, False, False, False, True, False, False, False, False, False, False, False, False, False, False, False, False, False, False, False, False, False, True, True, False, True, True, False, False, False, False, False, True, False, False, False, False, False, False, False, False, False, True, False, False, False, True, False, False, False, False, False, False, False, False, False]</t>
  </si>
  <si>
    <t>FigS18A_DiT-FP_Sim_Unseen_DistShift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</si>
  <si>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</si>
  <si>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True, False, False, False, False, False, False, False, False, False, False, False, False, False, False, False, False, False, False, False, False, True, False, False, False, False, False, False, False, False, True, False, False, False, False, False, False, False, False, False, False, False, False, False, False, False, True, False, False, True, True, False, False, True, False, False, False, False, False, False, False, False, False, False, False, True, False, False, False, True, False, False, False, False, False, True,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True, False, False, False, False, False, False, True, False, False, False, False, False, False, False, False, False, True, True, False, False, False, False, True, True, False, False, False, False, False, False, False, False, False, False, False, False, False, False, False, False, False, False, False, False, False, False, False, True, False, False, False, False, False, False, True, False, False, False, False, False, True, False, False, False]</t>
  </si>
  <si>
    <t>[False, False, False, False, False, False, False, False, False, False, False, False, False, False, False, False, False, False, False, False, False, False, False, False, False, False, True,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True, False, False, False, False, False, False, False, False, False, False, False, False, False, False, False, True, False, True, False, False, False, False, False, False, False, False, False, False, False, False, False, False, False, False, False, False, False, True, False, True, False, False, False, False, False, False, False]</t>
  </si>
  <si>
    <t>[False, True,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True, False, False, False, False, False, False, False, True, False, False, False, False, False, False, True,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True,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True, False, True, False, False, False, True, True, False, False, False, False, False, False, False, False, False, True, False, False, False, False, False, False, False, False, False, False, False, False, False, False, False, False, True, False, False, False, False, False, True, False]</t>
  </si>
  <si>
    <t>[False,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True, True, False, False, False, False, False, False, False, False, False, False, False, False, False, False, True, False, False, False, False, False, False, False, False, False, False, False, False, True, False, False, False, False, False, False, False, False, False, False, True]</t>
  </si>
  <si>
    <t>[False, False, False, False, False, False, False, False, True, False, False, False, False, False, False, False, False, False, False, True, False, False, False, False, False, False, False, True, False, False, False, False, False, False, False, False, True, False, False, False, False, False, False, False, False, True, False, False, True, False, False, False, False, True, False, False, False, False, False, False, False, True, False, False, False, False, True, False, False, False, False, False, False, False, False, False, False, True, False, False, False, False, False, True, False, False, True, False, False, False, False, False, False, False, False, False, False, False, False, False, False, False, False, False, False, True, False, True,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True, False, True, False, True, False, False, True, True, False, True, False, False, False, False, False, False, False, False, False, False, False, False, False, False, False, False, False, False, False, False, False, False, False, True, False, False, False, False, False, False, False, False, False, False, True,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</si>
  <si>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</si>
  <si>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True, False, True, False, False, False, False, False, False, False, False, False, False, False, True, False, False, True, False, False, True, False, True, True, False, False, False, False, False, False, False, False, False, False, True, False, False, False, False, False, False, False, False, False, False, False, False, True, True, True, False, False, False, False, False, False, False, True, False, False, False, False, True, False, False, False, False, True, False, True, False, False, False, False, False, True, True, False, False, False, True, False, True, False, False, False, False, False, False, False, False, False, False, False, False, False, False, False, False, True, False, False, False, False, False, True, False, False, False, False, False, False, False, False, True, False, False, False, False, False, False, False, True, False, False, False, False, False, False, True, False, False, False, False, False, False, False, False, False, False, False, False, False, False, False, False, False, False, False, False, False, False, False, True, False, False, True, False, False, False, False, False, False, False, False, False, True, False, False, False, False, False, True, False, False, False, False, False, False, False, True, False, False, False, False, False, False, False, False, False]</t>
  </si>
  <si>
    <t>[False, False, True, False, False, False, False, False, False, False, False, False, False, True, False, False, False, True, True, False, False, False, False, True, True, True, False, True, False, False, False, False, True, False, True, False, False, False, False, False, False, True, False, False, True, True, False, True, True, False, False, False, False, False, True, False, True, True, False, False, False, False, True, False, False, True, False, False, False, False, False, False, False, False, False, False, False, False, False, True, False, False, False, False, False, False, False, True, False, False, False, False, True, False, False, False, False, False, False, False, False, False, False, False, False, False, False, False, True, False, True, False, False, True, True, True, False, True, True, False, False, False, False, True, False, False, False, False, False, True, False, False, False, False, False, False, True, True, False, False, True, False, False, True, False, False, True, False, True, False, False, True, False, False, False, False, False, False, False, False, False, True, False, False, False, False, False, False, False, False, False, True, True, False, False, False, False, False, True, False, True, False, False, False, False, True, False, True, False, True, False, False, True, False, False, False, False, False, False, False]</t>
  </si>
  <si>
    <t>[False, False, False, False, False, True, False, False, False, False, False, False, True, True, False, False, False, False, False, False, False, False, False, False, False, False, False, True, False, False, False, False, True, False, True, False, True, False, False, True, False, False, False, False, False, False, False, False, False, False, True, False, False, False, False, False, False, True, True, False, True, False, True, True, False, False, False, False, False, False, False, False, False, False, False, True, False, False, False, True, False, False, False, False, False, False, True, True, False, True, False, False, False, False, False, False, False, False, True, False, False, True, True, False, False, False, False, False, False, False, True, False, False, True, False, False, False, False, True, False, False, False, False, False, False, False, False, False, False, True, False, False, False, False, False, True, True, False, True, True, False, False, False, False, True, False, False, False, True, True, False, False, True, False, False, False, True, False, False, True, False, False, False, False, False, False, False, False, False, False, False, False, True, False, False, False, False, False, True, False, False, False, False, False, False, False, True, False, True,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</si>
  <si>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True, False, False, False, True, False, False, False, False, False, False, False, False, True, False, False, False, False, False, False, False, False, False, False, False, False, True, False, False, False, False, True,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True, False, False, False, False, False, False, False, False, False, False, False, False, False, False, False, False, False, False, False, False, True, True, False, True, False, False, False, False, False, False, False, False, False, False, False, False, False, False, False, True, False, False, False, True, False, False, False, False, False, False, False, False, False, True, False, False, False, False, False, True, False, False, False, False, False, False, False, True, False, False, False, False, False, True, True, False, False, False, False, False, False, False, True, False, False, False, False, False, False, True, False, False, False, False, False, False, False, False, False, False, False, False, False, False, False, False, False, False, False, False, False, False, False, False, False, False, False, False, False, False, True,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True, True, False, False, False, False, False, False, False, False, False, False, False, False, False, False, False, False, False, False, False, False, False, False, False, False, True, False, False, True, False, False, False, False, False, False, False, False, True, False, False, False, False, True, False, False, False, False, False, False, False, False, False, False, False, True, True, True, False, False, False, False, False, False, False, False, False, False, False, False, False, False, False, False, False, False, False, False, False, False, False, False, True, False, False, False, False, False, False, True, False, False, False, False, False, True, False, False, False, False, False, False, False, False, True, False, False, False, False, False, False, False, False, False, True, False, False, True, False, False, False, True, False, False, False, False, False, False, False, True,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True, False, False, False, False, False, False, False, False, False, False, False, False, False, False, False, False, True, False, False, False, False, False, False, False, False, False, False, True,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True, False, False, True, False, False, False, False, False, False, False, False, False, True, False, False, False, False, False, False, False, False, True, False, False, False, False, False, False, False, True, False, False, False, False, False, False, False, False, False, False, False, False, False, False, False, False, False, False, False, False, False, False, True, False, False, False, False, False, True, False, False, True, False, False, False, False]</t>
  </si>
  <si>
    <t>[False, False, False, False, False, False, False, False, False, False, False, False, True, False, False, False, False, True, False, False, False, True, True, False, False, False, True, False, False, False, False, False, False, True, False, False, False, False, False, False, False, False, False, False, False, False, False, False, False, False, False, False, True, False, False, True, False, False, False, False, False, False, False, False, False, False, False, False, False, False, True, False, False, False, False, False, False, False, True, True, False, False, False, False, True, True, False, False, False, False, True, False, False, False, False, False, False, False, True, False, False, False, False, False, True, False, False, False, True, False, False, False, False, False, False, False, False, False, False, False, True, False, True, False, False, False, False, False, False, False, False, False, True, False, False, False, True, False, False, False, False, False, False, False, False, False, False, False, False, False, False, False, False, False, False, True, False, False, False, False, False, True, True, False, True, True, False, True, False, True, False, True, False, True, False, False, False, True, False, False, False, True, False, True, False, False, False, False, True,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True, False, False, False, False, True, False, False, False, False, True, False, True, False, False, False, False, False, False, True, True, False, False, False, True, True, False, False, False, True, False, True, False, False, False, False, False, True, True, True, False, False, False, False, False, True, False, False, False, False, False, False, False, False, False, False, False, True, False, True, True, False, False, False, False, False, False, False, False, False, False, False, False, True, False, False, False, False, False, True, False, False, False, False, True, False, True, False, False, False, True, False, False, False, False, False, False, False, False, False, False, False, True, False, False, False, False, True, False, False, False, False, False, False, False, False, True, False, False, False, False, False, True, False, False, False, False, False, False, False, False, False, False, False, True, False, False, False, False, True, False, False, True, False, True, False, False, False, False, False, False, False, False, True, False, False, False, False, False, False, False, True, False, False, False, False, False, False, False, False, False, False, False, False, False, False, True, False, False, False, False, False, False, False, False, False, False, False, True, False, False, True, False, False, True, True, True, True, True, False, False,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True, False, False, False, False, True,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True, False, False, False, False, False, False, True, False, False, False, False, False, False, True, False, False, False, True, False, False, False, False, False, True, False, False, False, False, False, False, False, False, False, False, False, False, True,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True, False, True, False, False, False, False, True, False, False, False, False, False, False, False, False, False, False, True, False, False, False, False, False, False, False, False, True,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True, False, False, False, False, False, True, False, False, False, False, False, False, False, False, False, False, False, True, False, True, False, False, False, False, False, False, False, False, False, True, False, False, False, False, True, False, False, False, False, False, True, False, False, False, False, False, True, False, False, False, False, False, False, False, True, False, False, False, True, False, False, False, False, False, False, False, False, False, False, False, False, False, False, False, False, False, True, False, False, True, False, False, False, True, False, False, False, False, False, False, True, False, False, False, False, True,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True, False, True, True, False, False, False, False, False, False, True, False, False, False, False, False, True, False, False, True, False, True, False, False, False, False, False, False, False, False, False, False, False, False, False, False, False, False, False, False, False, False, False, True, False, False, False, False, True, True,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False]</t>
  </si>
  <si>
    <t>FigS18b_UNet-DP_Sim_Unseen_DistShift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</si>
  <si>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</si>
  <si>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</si>
  <si>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</si>
  <si>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True,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</si>
  <si>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</si>
  <si>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</si>
  <si>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True, False, False, False, False, False, False, False, False, True, False, False, False, False, False, False, False, False, False, False, False, False, False, True, False, False, False, False, True, False, False, False, False, False, False, False, False, False, False, False, False, False, False, False, False, False, False, True, False, False, False, False, False, False,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True, False, False, True, False, False, False, False, False, False, False, False, False, False, False, False, False, False, False, False, False]</t>
  </si>
  <si>
    <t>[False, False, False, False, False, False, False, False, False, False, False, False, False, False, True,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True, False, False, False, False, False, False, False, False, True, False, False, False, False, False, False, False, False, False, False, False, False, False, False, False, False, False, False, False, True, False, False, False, False, False, False, False]</t>
  </si>
  <si>
    <t>[True, False, False, True, False, False, False, False, False, False, False, False, False, False, False, False, False, False, False, False, False, True, False, True, False, False, False, True, False, False, False, False, False, False, False, False, False, False, False, False, False, True, False, False, False, False, False, False, False, False, True, False, False, False, False, False, False, False, True, False, False, False, True, False, True, False, False, False, True, False, False, False, False, False, True,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True, False, False, False, False, False, True, False, False, False, False, False, True, False, False, False, False, True, False, False, False, False, False, False, False, False, False, False, False, False, False, False, False, False, False, False, False, False, True, False, False, False, False, False, False, True, False, False, False, False, False, False, True, False, False, False, False, False, False, False, False, True, False, False]</t>
  </si>
  <si>
    <t>[False,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True,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True, True, False, False, False, True, False, False, False, False, False, False, False, False, True, False, False, False, False, False, False, False, False, False, False, True, False, False, False, False, False, False, False, False, False, False, False, False, False, False, True,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True, False, False, False, False, False, False, False, False, False, False, False, True, False, True, False, False, False, False, False, False, True, False, False, False, False, False, True,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False, False, False, False, False, False, False, False, True, True, False, False, False, True,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</si>
  <si>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False, False, False, False, False, False, False, False, False, False, False, False, False, False, True, False, False, False, False, False, False, False, False, False, False, False, False, False, False, True, False, False, False, True, False, False, False, False, False, False, False, False, False, False, False, False, False, False, False, False, False, False, True, False, False, False, False, False, False, False, False, False, False, False, False, False, True, False, True, False, False, False, False, False, False, False, False, False, False, False, False, True, False, False, False, False, False, False, True, False, False, False, False, False, False, True, False, False, False, False, False, False, False, False, False, True,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True, False, False, False, False, False, False, True,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True, False, False, False, False, False, False, False, False, True, False, False, False, False, True, False, False, False, False, False, False, False, False, False, False, True, True, False, False, False, True, False, False, False, False, False, False, False, False, True,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</si>
  <si>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FigS30A_HW_Unseen_Nominal_MeanProgress</t>
  </si>
  <si>
    <t>FigS30B_Sim_Unseen_Nominal_MeanProgress</t>
  </si>
  <si>
    <t>FigS31_Sim_Unseen_DistShift_MeanProgress</t>
  </si>
  <si>
    <t>FigS34A_Sim_Seen_Nominal</t>
  </si>
  <si>
    <t>FigS34B_Sim_Seen_Nominal_Filtered</t>
  </si>
  <si>
    <t>[True,True,True,False,True,True,True,True,True,True,False,False,False,False,False,True,False,False,True,True,False,True,True,True,False,False,False,True,True,True,True,True,False,True,False,False,True,True,True,True,True,False,True,False,True,True,True,True,True,True,True,True,True,True,True,False,True,False,True,True,True,True,True,True,True,True,True,True,False,True,True,True,False,False,False,False,False,True,True,False,True,True,True,True,False,True,True,False,True,True,True,True,True,False,False,False,True,True,False,True,True,True,True,True,True,False,True,False,False,False,True,False,True,False,True,False,True,True,True,False,True,False,False,True,True,True,False,True,True,True,True,True,True,True,True,True,True,False,True,True,True,False,True,False,True,True,True,False,True,False,True,True,True,True,True,True,False,False,False,False,False,True,True,False,True,False,True,True,True,False,True,False,True,False,False,True,True,True,True,False,True,False,True,True,False,True,True,False,True,True,True,True,False,False,False,True,True,True,True,True]</t>
  </si>
  <si>
    <t>[True,True,True,True,True,False,True,True,True,True,True,False,True,False,False,True,True,True,True,True,True,True,True,False,False,False,False,True,False,True,True,True,True,True,False,True,True,False,True,True,True,False,True,False,True,True,False,True,True,True,True,True,True,True,True,False,True,False,True,True,True,False,True,True,True,True,True,True,False,False,True,True,False,True,False,False,False,False,True,True,True,True,True,True,True,True,True,True,True,True,True,True,True,True,True,True,False,True,False,True,True,True,True,True,True,True,True,True,True,True,True,True,False,True,True,False,False,True,True,True,False,False,False,True,True,True,True,False,False,True,True,True,True,True,True,True,True,False,True,True,False,False,True,True,True,True,True,True,True,True,True,True,True,True,True,True,False,True,False,True,False,True,False,True,True,False,False,True,True,True,False,True,True,True,True,True,True,True,True,False,True,False,True,False,True,True,True,True,True,True,True,True,False,False,False,True,True,True,False,True]</t>
  </si>
  <si>
    <t>[True,True,True,True,True,False,True,True,True,True,False,True,True,True,True,True,True,True,True,True,True,True,True,True,True,False,True,True,True,True,True,True,True,False,True,True,True,True,True,False,True,False,True,True,False,True,True,True,True,True,True,True,True,True,True,True,True,True,True,True,True,True,True,True,True,False,True,True,False,True,True,True,True,False,True,True,True,True,True,False,True,True,True,True,False,True,True,True,True,True,True,True,False,True,False,True,True,True,True,True,False,True,True,True,True,True,False,True,True,True,True,False,False,True,True,True,True,True,False,True,True,True,True,True,True,True,True,True,True,True,True,True,True,False,False,True,True,True,True,True,True,True,True,True,True,True,True,True,True,False,True,True,False,True,True,True,True,True,False,False,True,True,False,True,True,True,True,True,True,True,False,True,True,True,True,True,True,True,True,True,True,True,True,True,True,True,True,True,True,True,False,True,True,True,True,False,True,True,True]</t>
  </si>
  <si>
    <t>[True,True,True,True,True,False,True,False,True,False,True,True,True,True,False,True,True,True,True,True,True,True,True,True,False,False,True,False,True,True,False,True,True,True,True,True,True,True,True,True,True,False,True,True,True,False,True,True,True,True,True,True,True,True,False,True,True,True,True,True,False,False,True,True,False,False,False,True,True,True,False,True,True,True,True,True,True,True,True,True,True,True,True,True,True,True,True,True,True,True,False,True,True,True,True,True,True,False,True,True,True,True,False,True,True,True,False,False,True,True,True,True,False,True,True,True,False,True,True,False,False,True,True,True,True,True,True,True,True,True,True,True,True,True,True,True,True,True,True,False,True,True,True,True,True,True,True,True,True,True,False,True,True,True,True,False,True,True,True,True,False,True,True,True,True,True,True,True,True,True,True,True,False,True,True,True,True,True,True,True,True,True,True,True,True,True,True,True,True,True,True,True,True,True,True,True,False,True]</t>
  </si>
  <si>
    <t>[True,True,True,True,True,False,False,False,False,False,True,True,True,True,True,True,True,True,True,True,False,True,True,True,False,True,True,False,True,True,True,True,True,True,True,False,False,True,True,True,False,True,True,False,True,True,True,True,True,True,False,True,True,True,True,True,True,False,False,True,True,True,True,False,True,True,True,True,True,True,True,False,True,True,False,True,True,False,False,True,True,True,True,True,True,True,True,True,True,True,True,True,True,False,False,True,False,True,True,True,False,True,True,True,False,True,True,False,True,False,True,False,True,False,True,True,True,False,False,False,False,True,False,True,False,True,True,True,True,False,True,False,True,True,True,True,False,False,False,False,True,True,True,True,False,True,True,True,True,True,True,False,False,True,True,True,True,True,True,True,False,True,True,False,False,True,True,True,True,False,True,False,True,False,True,False,True,True,False,True,True,True,False,False,False,True,True,True,True,True,True,False,True,True,False,False,True,True,True,False]</t>
  </si>
  <si>
    <t>[True,True,True,True,True,False,True,True,True,True,True,True,True,False,True,True,True,True,True,True,True,True,True,True,True,True,True,True,True,True,True,False,True,True,True,True,True,True,True,True,True,True,True,False,False,True,True,True,True,True,True,False,True,True,True,True,True,False,True,True,True,True,True,False,True,True,True,True,True,True,True,True,True,True,True,True,True,True,True,True,True,True,True,False,True,True,False,True,True,True,True,True,True,True,True,True,True,True,True,True,True,True,False,True,True,True,True,True,True,True,True,False,True,True,True,True,False,True,True,True,True,True,True,True,False,True,True,True,False,True,True,False,False,True,True,False,True,True,True,True,True,True,True,True,True,True,True,True,True,True,True,True,True,True,True,True,True,True,True,True,True,True,True,True,True,True,True,True,True,True,True,True,True,True,True,True,True,True,True,True,True,True,True,True,False,True,True,True,True,True,True,False,False,True,False,True,True,True,True,True]</t>
  </si>
  <si>
    <t>[True,True,False,True,True,True,True,True,True,True,True,True,True,False,True,True,True,False,True,False,False,True,True,True,True,True,True,False,True,False,False,False,True,True,True,True,False,False,True,True,True,True,False,True,True,True,True,True,False,False,True,True,True,True,True,True,True,False,True,True,True,False,True,True,True,True,True,True,False,True,True,True,True,True,True,True,False,True,True,True,False,True,True,True,True,False,True,True,True,False,True,True,False,True,False,True,True,True,True,True,True,True,True,True,False,True,True,True,False,True,True,True,False,False,True,True,False,True,True,True,False,True,True,False,True,False,True,True,True,True,True,True,True,True,True,True,True,True,True,True,True,True,True,True,True,True,True,True,True,True,False,True,True,False,True,True,True,True,True,True,True,True,True,True,True,False,True,True,True,True,True,True,False,True,True,True,True,True,True,True,True,True,False,True,False,True,True,False,True,True,False,True,True,True,True,True,True,False,False]</t>
  </si>
  <si>
    <t>[True,True,True,True,False,True,True,True,True,True,True,True,True,True,True,False,True,False,True,True,True,False,False,True,True,True,True,True,False,True,True,False,True,True,True,True,False,True,False,True,True,True,True,True,True,True,True,True,True,False,True,True,True,True,True,True,True,True,True,True,True,True,True,True,True,True,True,False,True,True,True,False,True,True,True,True,True,True,True,True,True,True,True,True,True,True,True,True,True,True,True,True,True,False,True,True,True,True,True,True,True,True,True,True,False,True,True,True,True,True,True,True,True,True,True,True,True,True,True,False,True,False,False,True,True,True,True,True,True,True,True,True,True,True,True,True,True,True,True,False,True,True,True,True,True,True,True,True,True,True,True,True,True,True,True,True,True,True,True,True,True,True,True,True,True,True,True,True,True,True,True,True,True,False,True,True,True,True,True,True,True,True,True,True,True,True,True,True,True,True,False,True,True,True,True,True,True,False,False,True]</t>
  </si>
  <si>
    <t>[True,True,False,True,True,True,True,True,True,True,False,True,True,True,True,True,False,True,True,False,True,True,True,True,True,True,True,True,True,True,True,True,True,True,True,True,True,False,True,True,True,True,True,True,True,True,True,True,True,True,True,True,True,True,False,True,True,False,True,True,True,True,True,True,False,True,True,True,True,True,True,False,True,True,True,True,True,True,True,False,True,True,True,True,True,True,True,True,True,True,True,True,True,False,True,True,True,False,True,True,True,True,False,True,True,False,False,True,True,True,False,True,True,True,True,True,True,True,True,True,False,True,True,False,True,True,True,True,True,False,True,True,False,True,True,True,True,True,True,True,True,True,True,False,True,True,True,True,True,True,True,True,False,True,True,True,True,False,True,True,True,True,True,False,True,True,True,False,False,True,False,True,True,True,True,False,False,True,True,True,True,True,True,True,True,True,True,True,True,True,True,False,True,False,True,False,True,True,False,True]</t>
  </si>
  <si>
    <t>[True,True,False,False,False,True,True,False,True,True,True,True,True,True,True,True,True,True,True,False,True,False,True,True,True,False,False,True,True,True,True,True,True,True,True,True,True,True,True,True,True,True,True,True,True,True,True,True,True,True,True,True,True,True,True,True,True,True,True,True,True,True,True,True,True,True,True,True,True,False,True,True,True,False,False,True,True,True,True,False,True,True,True,True,True,True,True,True,True,True,True,True,True,True,False,True,True,True,True,True,False,True,True,False,True,True,True,True,True,True,True,True,True,True,True,True,True,False,True,True,False,True,True,True,True,False,True,False,True,False,True,True,True,True,True,True,True,True,True,True,True,True,False,True,True,False,True,True,True,True,True,True,False,True,True,True,True,True,True,True,True,True,True,False,True,True,True,True,True,False,True,True,True,True,True,False,False,False,True,True,True,True,True,True,True,True,True,True,False,False,True,True,True,False,False,False,True,True,False,True]</t>
  </si>
  <si>
    <t>[True,True,True,False,True,True,False,True,True,True,False,True,True,False,True,False,True,True,True,True,True,True,True,True,True,False,False,True,False,False,True,True,True,False,True,True,True,True,True,False,True,True,False,True,True,True,False,False,False,True,True,True,True,True,False,False,False,True,False,True,True,False,True,False,True,True,True,False,True,True,True,True,True,True,True,True,True,True,False,True,True,True,False,True,True,False,False,True,True,False,False,True,True,True,True,True,True,False,True,True,False,True,True,True,False,True,False,True,True,False,True,False,True,True,True,True,True,True,False,False,True,False,True,False,True,False,False,False,True,True,False,False,True,False,True,True,True,True,True,True,True,False,True,True,False,False,True,True,False,True,True,False,True,True,True,True,True,True,False,False,True,True,True,False,False,True,True,True,True,False,False,True,True,True,True,True,True,True,True,True,True,True,False,False,False,False,False,True,True,True,True,False,True,False,True,True,False,True,True,True]</t>
  </si>
  <si>
    <t>[True,True,True,True,True,True,True,True,True,True,True,True,True,False,True,True,True,True,True,True,True,True,True,True,True,True,True,True,True,True,True,True,True,True,True,True,True,True,True,True,True,True,True,True,True,True,True,True,True,True,True,True,True,True,True,True,True,True,True,True,True,True,True,False,True,True,True,True,True,True,False,True,True,True,True,True,True,True,True,True,True,True,False,True,True,True,True,False,True,True,True,True,True,True,True,True,True,True,True,True,True,True,True,True,False,True,True,True,True,True,True,True,True,True,True,True,True,True,True,False,True,True,True,True,True,True,True,True,True,True,True,True,True,True,True,True,True,True,True,True,True,True,True,True,True,True,True,True,True,True,True,True,True,True,True,True,True,True,True,False,True,True,True,True,True,True,True,True,True,True,False,True,True,True,True,True,True,True,True,True,True,True,True,True,True,True,True,True,True,True,True,False,True,True,True,True,True,True,True,True]</t>
  </si>
  <si>
    <t>[True,True,False,False,True,True,True,False,False,False,True,True,True,True,True,True,True,True,False,False,True,False,True,True,True,True,True,False,True,True,True,False,False,True,True,True,True,True,True,True,True,True,True,True,True,False,False,False,True,True,True,True,True,True,True,True,False,True,True,True,True,True,True,True,True,True,True,True,True,True,True,True,True,True,True,True,True,True,True,True,False,True,True,True,True,True,False,True,True,True,True,True,False,True,True,True,True,True,True,True,False,True,False,True,True,False,True,True,True,True,True,True,True,True,True,True,True,True,True,True,False,False,True,True,True,True,True,True,True,True,True,True,True,True,True,True,True,True,True,True,False,True,True,True,True,True,False,True,True,True,True,True,True,True,True,True,True,False,True,False,True,True,True,False,True,False,True,True,True,True,True,True,True,True,True,False,True,True,True,True,True,True,True,True,True,True,True,True,True,True,True,True,True,True,True,True,True,True,True]</t>
  </si>
  <si>
    <t>[True,True,True,True,True,True,True,True,True,True,True,True,True,True,True,True,True,False,False,True,True,False,False,True,False,False,True,True,True,True,True,True,True,True,True,True,True,True,False,False,True,True,True,True,True,True,True,False,True,True,True,False,True,False,True,True,True,False,False,True,True,True,True,True,True,False,True,True,False,True,True,True,False,True,True,True,True,True,True,True,True,True,True,True,True,True,True,True,True,True,True,True,True,True,True,True,True,True,True,True,False,True,True,True,True,True,True,True,True,True,True,True,True,True,True,True,True,True,True,True,True,True,True,True,False,True,True,True,True,True,True,True,True,True,True,True,True,True,True,True,True,True,False,True,False,True,True,True,False,True,True,True,True,True,True,True,True,True,True,True,True,True,True,True,True,True,False,False,True,True,True,True,True,True,True,True,True,True,False,True,False,True,True,True,True,True,True,True,True,True,False,True,True,True,True,True,True,True,True,True]</t>
  </si>
  <si>
    <t>[False,False,False,False,False,False,False,True,False,False,True,False,False,False,False,False,False,False,True,False,False,False,True,True,False,False,False,False,False,True,False,False,True,False,True,False,False,False,True,True,False,True,False,False,False,False,False,True,False,False,False,True,False,False,False,False,True,True,False,False,True,False,False,False,False,False,False,False,False,False,False,False,True,True,True,False,False,True,False,False,False,False,False,False,True,True,False,False,False,False,False,False,True,False,False,False,False,False,True,True,False,False,False,True,False,False,False,False,False,True,False,False,True,True,False,False,True,False,True,False,False,True,False,False,False,True,False,False,False,False,True,False,False,False,False,True,True,True,False,False,True,False,False,False,False,False,False,False,False,True,True,True,True,False,False,True,True,True,False,False,False,False,False,True,False,False,False,False,False,False,False,True,False,False,False,False,False,True,False,False,False,True,False,False,False,False,True,True,False,True,True,False,True,False,True,False,False,False,False,True]</t>
  </si>
  <si>
    <t>[False,False,True,True,False,True,False,True,True,False,False,False,False,False,True,False,False,False,True,True,False,False,True,True,True,True,False,False,True,True,True,False,True,False,True,True,False,False,True,False,True,True,True,False,True,True,False,False,True,True,False,True,False,True,False,True,True,True,False,True,False,True,False,False,True,False,True,False,True,False,False,False,True,True,True,False,True,True,False,False,False,False,False,True,False,True,False,False,True,False,True,True,False,True,False,True,True,True,False,True,True,False,True,False,False,False,True,False,False,False,False,True,True,True,False,True,True,True,False,False,True,False,False,True,False,False,True,False,False,True,True,False,False,True,True,True,True,False,False,True,False,True,False,False,False,True,False,False,True,False,True,True,False,True,True,True,True,False,False,True,False,True,True,False,False,False,False,False,False,False,True,False,True,True,False,False,False,False,True,True,True,True,True,False,False,False,True,False,True,True,False,True,False,True,False,False,False,False,True]</t>
  </si>
  <si>
    <t>[True,False,False,False,True,False,False,True,True,True,False,True,False,False,False,False,True,False,False,False,False,True,True,True,False,True,True,False,False,False,False,False,False,False,False,True,False,True,False,False,True,False,True,False,True,True,True,False,False,False,True,False,True,False,False,False,False,True,True,False,True,False,False,True,False,True,False,True,True,False,False,False,True,False,True,True,False,False,False,False,False,True,True,True,True,True,True,True,True,True,True,True,True,True,True,False,True,True,True,False,False,False,True,True,True,False,True,True,False,False,True,True,False,False,False,True,True,False,False,False,False,False,False,False,False,True,False,False,False,False,False,False,True,True,False,True,False,True,False,False,False,False,False,False,False,False,False,True,False,False,False,False,True,True,False,False,False,True,True,True,True,True,True,True,False,False,True,True,True,True,False,True,True,True,False,True,True,True,False,True,True,False,False,True,False,False,False,False,True,False,True,True,False,False,True,False,False,True,False,False]</t>
  </si>
  <si>
    <t>[True,False,True,False,True,True,False,True,True,True,False,True,False,True,True,True,True,True,True,False,False,True,True,False,True,True,True,False,False,True,False,False,True,False,True,True,True,True,False,False,True,False,False,False,True,True,False,True,False,True,True,True,True,False,True,True,False,True,True,True,True,True,False,True,False,True,False,True,True,False,True,True,True,True,True,False,False,False,True,False,False,True,True,True,True,True,True,True,True,True,False,True,True,True,False,True,True,True,False,True,False,True,True,True,True,True,True,True,False,True,True,False,False,False,True,True,True,False,False,False,False,True,False,False,True,True,False,False,False,True,True,True,False,False,True,False,False,True,True,True,True,True,True,True,False,True,True,False,True,True,False,True,False,True,False,False,True,True,True,False,True,True,True,False,True,True,True,False,True,False,True,True,True,False,True,True,True,False,True,True,True,False,False,False,False,True,False,True,False,True,True,False,True,True,True,True,True,True,True]</t>
  </si>
  <si>
    <t>[False,False,True,False,True,False,True,False,False,False,False,False,True,False,False,False,True,False,False,True,False,False,False,False,True,False,False,False,False,False,True,False,False,False,False,False,False,True,False,False,False,False,False,False,False,False,False,True,False,False,False,False,False,False,True,True,False,False,False,False,True,True,False,False,False,False,False,False,True,False,False,False,False,False,False,False,True,False,False,False,False,False,False,False,False,False,False,False,True,False,False,False,False,False,False,False,False,False,False,False,False,False,False,False,False,False,False,False,False,False,False,False,False,False,True,True,False,False,False,False,True,False,False,False,False,False,False,False,False,False,True,False,False,False,False,False,False,False,True,False,True,False,False,False,False,False,False,True,False,False,False,False,False,False,False,False,False,False,False,False,False,False,False,False,False,False,False,False,False,False,True,False,False,False,False,False,False,False,False,False,False,False,False,False,False,True,False,False,True,False,False,False,False,False,False,True,False,False,False,False]</t>
  </si>
  <si>
    <t>[False,True,False,False,True,False,False,False,False,False,False,False,False,True,False,False,True,False,False,False,False,False,False,True,True,False,False,True,False,False,True,False,False,False,False,False,False,False,False,False,False,False,False,False,False,True,False,True,False,False,True,False,False,False,True,False,False,False,True,False,False,False,True,False,False,False,False,False,True,False,False,False,False,True,False,True,False,False,False,True,False,False,True,True,False,False,False,True,True,True,True,False,True,True,False,True,True,False,False,False,False,False,False,False,False,False,False,True,False,False,False,False,False,False,True,False,False,True,False,True,True,False,False,False,False,False,False,False,False,False,False,False,False,False,True,True,False,False,False,False,False,False,True,False,False,False,True,False,False,False,False,False,False,False,False,False,False,False,False,False,True,False,False,False,False,False,False,False,False,False,False,False,False,False,False,False,False,False,False,False,False,False,False,False,False,True,True,False,True,False,False,True,False,False,False,True,False,False,False,True]</t>
  </si>
  <si>
    <t>[False,False,False,True,False,False,False,False,False,False,False,False,False,False,False,False,False,False,False,False,False,False,False,False,True,False,False,False,False,False,False,False,False,False,False,False,False,False,False,False,False,False,False,False,False,False,False,True,False,False,False,False,False,False,False,False,False,False,False,False,False,True,False,False,False,False,False,False,True,False,True,False,False,False,False,False,False,False,False,False,True,False,False,False,False,False,False,False,False,Tru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True,True,True,False,False,True,False,False,False,False,False,False,True,False,False,False,False,False,False,False,False,False,False,False,True,False,False,False,False,False,False,False,False,False,False,False,False,False,False,False,False,False,False,False,False,False,False,False,True,False,False,False,False,False,False,False]</t>
  </si>
  <si>
    <t>[False,False,False,True,True,False,False,False,False,False,False,False,True,False,False,False,False,True,True,False,False,False,False,False,True,True,False,True,False,False,True,False,True,False,True,False,False,False,False,False,False,True,True,False,False,False,False,False,False,False,True,False,True,False,True,False,True,False,False,False,False,False,False,False,False,False,False,False,True,False,True,False,False,False,False,False,False,True,False,False,True,False,True,False,False,False,False,False,True,False,False,True,False,False,False,True,False,False,True,True,True,False,False,False,False,True,False,False,False,True,False,True,True,False,True,True,False,False,False,False,False,False,False,False,False,False,False,True,False,False,False,False,False,True,True,False,False,False,False,False,False,True,False,False,True,True,False,False,True,False,True,False,True,False,True,False,False,False,False,True,True,True,False,True,False,False,False,False,False,False,False,False,False,False,False,False,False,True,False,False,False,True,False,True,False,True,False,True,True,False,False,False,False,False,False,False,True,True,True,False]</t>
  </si>
  <si>
    <t>[False,False,False,False,False,False,False,False,False,False,True,False,False,False,False,False,False,False,False,False,False,False,False,False,False,False,False,False,Tru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True,False,False,False,False,False,False,False,False,False,False,False,False,False,False,False,False,False,False,False,True,False,False,False,False,False,False,False,False,False,False,False,True,True,False,False,False,False,False,False,False,False,True,False,False,False,False,False,False,False,True,False,False,False,False,False,False,False,False,False,True,False,False,True,False,False,False,False,False,False,False,False]</t>
  </si>
  <si>
    <t>[False,False,False,True,False,False,True,False,True,True,True,False,False,True,True,False,False,False,True,False,True,False,False,True,True,False,False,False,True,True,False,False,True,False,False,False,False,False,True,False,False,False,False,False,False,False,False,True,False,False,False,True,False,False,False,False,False,False,False,False,False,False,False,True,False,False,False,False,False,True,False,False,False,False,False,True,False,False,False,False,False,True,False,False,True,False,False,False,False,False,False,False,True,False,False,False,True,False,False,False,False,False,True,False,False,False,False,False,False,False,False,True,True,False,False,False,False,True,False,False,False,False,False,False,False,False,False,True,False,True,False,False,False,False,False,False,False,False,True,False,False,False,False,False,True,True,False,False,True,False,False,False,False,True,True,False,False,False,False,False,True,False,False,False,False,False,False,False,False,False,False,False,False,False,False,False,False,False,True,True,False,False,False,True,False,False,False,False,True,False,False,True,False,False,True,False,True,True,False,True]</t>
  </si>
  <si>
    <t>[False,False,False,False,False,True,True,False,False,True,False,False,False,False,False,True,True,True,False,False,False,False,True,True,False,False,False,False,False,False,False,False,False,True,False,True,False,False,False,False,True,False,True,False,False,False,False,False,True,False,False,False,True,False,True,False,False,False,False,False,False,False,False,False,True,False,False,False,False,False,True,True,True,False,False,False,True,False,False,True,False,True,False,True,False,False,False,False,True,True,True,False,False,False,False,False,True,False,False,True,False,True,False,False,True,True,True,False,True,False,False,True,True,False,True,False,False,False,False,False,False,False,True,False,True,True,False,False,False,False,True,False,False,True,False,False,False,False,False,False,False,False,False,False,True,False,True,False,False,True,True,False,False,False,False,True,False,False,False,False,False,True,True,False,False,False,False,False,False,False,False,False,False,False,True,False,False,False,False,False,False,False,False,True,False,True,False,False,False,False,True,False,False,False,True,True,True,False,False,True]</t>
  </si>
  <si>
    <t>[False,False,True,True,True,False,True,True,False,True,True,False,False,False,False,False,True,True,True,True,False,True,False,True,False,False,False,False,False,False,True,False,False,True,False,False,False,False,True,False,False,False,True,True,False,False,True,False,True,False,True,False,True,False,False,False,False,False,True,True,True,True,False,True,True,False,False,False,False,False,True,True,True,True,True,False,True,False,False,True,False,True,True,True,False,False,False,True,True,False,True,False,False,False,True,False,True,False,True,True,True,False,False,False,True,True,True,True,True,False,False,True,True,True,True,False,True,True,False,False,False,False,False,False,False,True,False,False,True,True,True,False,False,True,False,False,False,False,False,False,True,True,True,False,True,False,True,True,True,True,False,True,False,True,True,True,False,True,False,False,False,True,True,False,False,False,False,True,False,False,False,True,True,False,True,True,False,False,False,False,False,True,False,True,False,True,True,False,False,False,True,False,False,False,False,True,True,True,True,True]</t>
  </si>
  <si>
    <t>[False,True,True,True,False,False,False,True,True,True,True,True,False,True,True,False,True,True,True,False,True,True,True,True,True,True,True,True,True,True,False,False,False,False,True,True,True,True,True,False,True,False,True,False,True,True,False,True,True,False,False,True,True,False,True,True,True,True,True,True,True,False,True,True,False,False,True,True,True,False,True,False,True,True,True,True,True,False,False,True,True,True,True,True,True,True,True,True,True,True,True,False,False,True,True,True,True,False,True,False,False,True,True,True,False,True,False,True,False,False,True,True,True,True,True,True,True,True,True,True,True,True,True,True,True,False,True,True,True,True,False,True,True,True,False,True,True,False,True,True,False,True,True,True,False,True,False,True,True,True,True,False,True,True,True,True,False,True,True,True,True,True,True,False,True,False,True,False,False,False,True,True,True,True,True,True,True,True,False,False,True,False,True,True,True,True,True,True,False,True,True,True,True,True,True,False,True,False,True,True]</t>
  </si>
  <si>
    <t>[True,True,True,True,True,True,True,True,False,True,True,True,True,True,True,True,True,True,True,True,True,True,True,True,True,True,True,True,True,True,True,True,True,True,True,True,True,True,True,True,True,True,True,False,True,True,True,True,True,True,True,True,True,True,True,True,True,True,True,True,True,True,False,True,True,False,False,True,True,True,True,True,True,True,True,True,True,True,True,True,True,True,True,True,True,True,True,True,True,True,True,True,True,True,True,True,True,True,True,True,True,True,True,True,True,True,True,True,True,True,True,True,True,True,True,True,True,True,True,False,True,True,True,True,True,True,True,True,True,True,True,True,True,True,True,True,True,True,True,True,True,True,True,True,False,False,True,True,True,False,True,True,True,True,True,True,True,True,True,True,True,True,True,True,True,True,True,True,True,False,True,False,False,True,True,True,True,True,False,False,True,True,True,True,True,True,True,True,False,False,True,True,True,True,True,False,True,False,True,True]</t>
  </si>
  <si>
    <t>[True,False,False,False,False,False,False,True,True,False,True,False,False,True,True,False,False,False,True,True,False,False,True,True,True,True,False,True,True,True,True,False,False,False,True,False,True,False,True,True,True,True,True,False,False,True,True,True,True,True,False,True,True,True,False,True,True,True,True,True,False,False,True,False,True,False,True,True,False,False,False,False,False,True,True,False,False,False,True,True,True,False,False,False,True,True,True,True,True,True,True,True,True,True,True,False,False,True,False,False,False,False,False,True,True,True,False,True,False,True,False,True,False,True,True,False,True,True,True,False,False,True,True,False,False,False,False,True,True,True,False,True,True,False,True,False,False,True,False,False,True,False,True,True,False,False,False,True,True,True,True,True,True,False,True,False,True,True,False,False,True,False,True,True,False,True,True,False,True,True,True,False,False,True,False,True,True,True,False,False,False,True,True,False,False,False,False,True,True,True,False,True,True,True,False,True,False,False,True,False]</t>
  </si>
  <si>
    <t>[True,False,False,False,False,False,True,True,True,True,True,True,True,True,True,False,False,True,True,True,False,True,True,True,True,True,True,True,True,True,True,False,True,True,True,False,False,False,True,False,False,True,False,True,False,True,True,True,False,True,False,True,False,False,False,True,True,True,False,True,True,False,True,False,False,False,True,True,False,True,False,True,False,True,True,False,True,True,True,True,True,True,False,True,True,True,True,True,True,True,True,False,True,True,True,False,True,True,False,False,True,False,True,True,True,True,False,True,True,True,False,False,True,True,True,True,True,True,True,False,False,True,True,False,True,False,False,True,True,True,True,True,False,False,True,False,False,True,False,False,True,False,True,True,False,False,False,True,True,True,True,True,True,False,True,False,True,True,False,False,True,True,True,True,True,True,True,False,True,True,False,True,False,True,True,False,True,True,False,False,False,True,True,True,False,False,True,True,True,True,True,True,True,True,False,True,True,False,True,False]</t>
  </si>
  <si>
    <t>[False,False,False,False,False,True,True,False,True,True,False,False,False,True,True,False,False,False,True,False,True,True,True,True,False,False,True,False,False,False,True,True,False,False,False,True,False,False,False,True,True,True,False,True,False,False,True,True,True,True,False,False,True,False,True,False,False,False,False,False,False,False,False,False,True,False,False,False,True,False,False,False,True,False,False,True,False,False,False,True,False,False,True,True,False,False,False,False,True,False,True,False,False,False,True,False,False,False,False,True,True,False,False,True,False,True,True,False,True,False,False,True,True,False,False,True,False,False,False,True,True,False,False,False,False,True,False,True,False,False,False,False,False,False,False,False,False,False,True,False,True,True,False,False,False,True,False,False,True,False,False,True,False,True,True,False,True,True,False,False,False,True,True,False,False,False,False,True,False,False,False,False,True,True,True,False,False,False,False,False,True,True,False,False,False,False,False,True,False,False,True,True,False,False,True,True,True,True,False,True]</t>
  </si>
  <si>
    <t>[False,True,True,False,True,False,True,True,True,True,True,False,False,True,True,False,True,False,True,False,True,True,False,True,True,False,True,True,True,True,True,True,False,False,True,True,False,False,True,True,True,True,True,True,False,False,True,True,True,True,False,False,True,False,True,True,True,False,True,False,False,False,False,False,True,True,True,False,True,True,False,False,True,True,True,True,False,True,True,True,False,False,True,True,False,False,False,False,True,True,True,True,False,True,False,True,False,False,True,True,True,False,True,True,False,True,True,True,False,True,True,True,True,False,True,True,True,True,False,True,True,False,False,False,False,True,False,True,False,True,True,False,True,True,True,False,False,False,True,False,True,True,True,False,False,False,True,False,True,True,False,True,True,False,False,True,True,True,True,False,True,True,True,False,False,True,False,True,True,False,True,False,True,True,True,True,False,False,False,True,True,True,False,True,True,False,False,True,False,False,True,True,True,False,False,True,True,True,True,True]</t>
  </si>
  <si>
    <t>[True,False,True,True,True,True,False,True,True,False,True,False,True,False,True,False,True,False,False,True,True,False,True,False,False,True,False,False,True,False,True,False,True,False,True,False,True,True,True,False,False,False,False,True,True,False,True,False,True,True,False,True,False,False,False,True,False,False,True,True,True,False,False,True,False,False,False,True,False,False,False,False,False,True,False,True,False,False,True,True,False,True,True,True,False,True,False,False,True,True,True,False,False,False,False,True,False,True,False,True,True,True,True,False,True,False,True,True,False,False,True,False,True,False,False,False,True,False,False,False,True,False,True,True,True,False,True,False,False,True,False,False,False,True,True,True,False,True,True,True,True,True,True,False,False,True,False,True,False,False,False,False,False,True,True,False,False,False,True,False,False,True,False,True,True,False,True,False,True,True,True,True,True,False,False,True,True,True,False,False,True,False,False,False,False,False,False,True,False,True,False,True,True,True,True,True,False,True,False,False,False,True,True,True,True,False,False,True,False,True,True,True,False,False,True,True,False,False,False,True,True,False,False,True,True,True,True,False,True,True,True,False,True,True,False,True,False,True,True,False,True,True,False,False,False,True,True,False,True,False,True,False,False,False,True,True,False,True,True,True,False,True,True,True,True,True,False,True,False,True,True,False,True,True,True,True,True,False,False,True,True,False,True,False,True,False,False,True,False,True,True,False,True,True,True,False,False,True,False,True,True,True,True,False,True,True,False,True,True,True,True,True,True,False,True,True,True,True,True,False,False,False,True,True,False,True,True,False,False,True,True,False,True,True,False,True,False,False,False,False,True,True,True,False,False,True,True,True,True,False,False,True,False,True,False,True,True,True,True,False,True,True,True,True,True,False,False,True,True,True,False,True,False,False,True,True,False,True,False,True,True,True,True,True,True,False,True,True,False,False,False,False,False,True,True,True,False,False,False,True,True,False,True,True,True,False,True,True,True,False,False,True,True,False,True,False,False,False,True,False,False,True,False,True,True,True,False,False,True,False,True,True,False,True,True,True,False,False,True,False,False,True,True,False,False,True,False,False,False,False,True,False,True,True,True,False,True,False,False,False,False,False,True,True,True,False,True,True,False,True,False,False,False,False,False,False,False,False,True,False,True,False,True,False,True,False,True,False,True,False,False,False,False,True,True,False,True,False,False,True,True,True,True,False,True,True,True,True,False,False,False,True,False,False,True,True,True,True,False,True,True,False,True,True,True,True,False,False,False,True,False,True,False,True,True,False,True,True,False,True,False,True,True,False,False,True,False,False,False,True,True,True,True,False,True,False,True,False,True,False,False,True,False,True,False,False,False,True,False,False,True,False,True,True,True,False,False,False,False,True,False,False,True,True,True,True,False,False,True,True,True,False,True,True,False,True,False,True,True,True,True,True,False,True,True,True,True,False,True,False,False,False,False,False,True,True,False,False,False,True,False,True,True,False,False,True,False,True,False,True,True,False,False,False,True,True,False,False,True,False,True,True,False,False,False,True,True,False,True,True,True,True,False,False,True,False,False,True,False,True,False,False,True,True,True,True,False,True,False,False,False,False,True,False,False,True,True,False,True,False,False,True,False,True,False,True,True,True,True,False,False,True,False,True,False,False,False,True,True,True,True,True,False,False,True,True,False,True,False,False,True,True,True,False,True,True,False,True,True,False,True,False,True,True,False,False,False,False,True,True,True,True,True,True,False,True,True,False,True,False,True,False,False,False,True,True,False,False,False,True,True,True,True,True,False,True,False,True,True,True,False,False,False,True,True,False,True,True,True,False,False,True,False,True,True,True,True,False,False,False,False,True,False,False,True,True,False,False,True,False,False,False,True,True,True,True,True,False,False,True,True,True,True,False,True,False,False,False,True,False,False,False,False,True,False,True,True,True,True,True,True,True,False,False,False,False,False,True,True,True,False,True,False,True,True,True,True,True,False,True,False,False,False,False,False,False,True,True,False,False,True,True,True,False,True,True,False,True,False,True,True,True,False,True,True,False,False,True,True,True,True,False,True,True,True,False,True,True,False,False,True,False,False,True,True,True,False,True,True,False,True,True,True,False,False,True,True,False,True,True,False,False,False,False,True,False,True,True,True,False,False,False,True,True,True,False,False,True,True,True,True,True,True,True,True,True,False,True,True,False,True,True,True,True,False,True,False,False,True,True,True,True,False,False,True,True,True,False,True,False,False,False,True,True,True,True,True,False,False,True,True,False,False,True,True,True,False,False,False,True,True,True,False,True,False,False,False,False,False,False,False,False,False,False,True,False,True,True,True,False,True,False,False,True,False,True,True,True,True,False,True,False,True,True,True,False,True,False,False,True,True,False,False,False,False,False,True,True,False,False,False,True,True,False,True,False,True,True,False,True,True,True,False,False,True,False,True,True,False,True,True,True,True,False,False,False,False,False,False,True,True,True,False,False,False,True,False,False,False,True,True,True,True,False,True,True,False,True,False,True,False,True,False,True,True,False,False,True,True,True,False,True,True,True,False,True,True,False,True,True,False,True,True,True,True,True,True,True,True,True,True,False,False,False,True,False,True,True,True,False,True,False,False,True,False,False,False,False,False,False,False,True,False,False,False,True,False,True,False,False,True,False,False,False,False,False,True,False,True,False,True,True,True,True,True,False,False,True,True,False,True,False,False,False,False,False,False,False,True,True,False,True,False,False,True,False,False,True,False,False,True,False,False,True,True,True,True,False,True,False,False,True,True,True,True,True,True,True,False,False,False,False,True,False,False,True,True,True,False,False,True,False,True,False,True,True,True,False,False,False,True,False,True,True,True,False,True,True,True,False,True,False,True,False,False,True,True,False,False,False,True,False,False,True,False,True,False,False,False,False,True,True,True,True,True,False,True,True,True,False,False,True,False,True,False,True,False,False,False,False,True,False,True,False,True,True,True,True,False,True,True,True,False,True,True,True,True,True,True,False,False,False,False,False,True,False,False,True,True,False,True,True,False,True,True,True,True,False,False,True,False,True,False,False,True,True,True,True,True,False,True,True,True,True,False,True,True,True,False,True,True,False,False,True,True,True,False,False,False,True,False,True,False,True,True,False,False,True,True,False,True,True,True,True,True,False,True,False,False,False,False,True,True,False,False,True,True,True,True,False,False,True,False,True,True,False,False,True,True,True,True,False,True,False,False,True,True,True,True,True,True,True,False,True,True,True,True,False,False,True,True,True,True,False,True,True,False,False,True,True,True,True,False,False,True,False,False,False,False,False,False,False,False,True,False,True,True,True,False,True,False,True,False,False,True,True,True,False,False,True,False,True,False,True,True,False,False,True,False,True,True,False,True,True,False,False,False,False,False,False,True,False,False,False,True,True,True,True,False,False,True,False,False,True,True,True,False,False,False,True,True,False,False,False,True,False,False,False,False,True,False,True,True,True,True,False,True,False,False,True,False,False,False,True,False,True,False,False,True,False,False,False,True,False,True,False,True,False,False,True,True,True,True,False,False,False,True,False,True,True,False,True,False,False,True,False,False,True,False,False,True,False,False,True,True,True,True,True,False,False,False,True,True,False,False,True,False,True,True,False,True,True,True,False,True,True,False,True,True,True,True,False,True,True,True,False,False,False,True,True,True,False,False,False,True,False,True,True,False,True,True,False,False,True,False,False,False,True,False,False,True,False,False,True,True,True,False,True,False,False,True,False,False,False,False,False,True,True,False,False,True,True,False,False,False,False,False,False,True,False,False,True,True,False,True,False,True,False,True,True,True,False,True,False,False,False,False,True,False,False,False,False,True,False,False,True,False,False,False,False,True,True,True,True,True,True,True,False,False,True,True,True,True,True,True,False,True,False,True,True,False,False,True,False,False,False,False,False,False,False,True,False,True,True,True,True,True,True,True,True,False,True,True,False,False,False,True,True,False,True,False,False,False,True,False,True,True,True,False,True,False,True,False,False,True,True,False,False,False,True,True,False,True,False,True,True,True,False,False,True,False,False,True,True,False,True,True,False,True,True,True,False,False,True,False,True,False,True,True,True,False,True,True,False,True,False,True,False,True,True,True,True,False,True,True,True,True,True,False,False,False,False,True,False,False,True,False,False,True,False,False,False,True,True,False,True,True,False,True,True,True,True,False,False,False,True,True,True,True,False,False,False,False,True,True,False,False,True,False,True,False,True,False,False,False,True,True,False,False,False,True,True,False,True,False,False,True,True,False,False,True,True,False,False,True,False,True,True,True,True,True,False,False,False,True,True,False,True,False,False,True,False,False,False,True,False,True,False,False,False,False,False,False,True,True,False,True,True,False,False,False,False,False,False,False,False,False,False,True,False,True,True,False,True,False,True,True,True,False,False,True,False,False,False,False,True,False,True,False,False,False,False,False,True,True,True,False,False,True,False,True,False,False,True,False,True,True,False,True,True,False,True,True,True,False,False,False,False,True,False,False,True,True,True,True,True,False,False,True,False,True,False,True,False,True,True,True,True,False,True,False,False,True,False,False,True,False,True,False,False,True,False,False,False,False,False,True,True,False,False,True,False,False,False,True,False,True,False,True,True,False,True,False,False,False,False,False,True,False,False,True,True,True,True,False,False,True,True,True,True,True,False,False,False,True,True,False,False,True,True,True,False,True,False,True,False,False,False,False,True,True,True,False,True,True,True,True,True,True,True,False,False,True,True,True,False,True,False,False,False,False,False,True,False,True,True,False,True,False,True,True,True,True,True,False,True,False,False,True,True,True,True,False,False,False,True,False,False,False,True,True,True,True,False,False,True,True,False,True,True,True,False,False,False,True,False,True,True,False,True,True,False,False,True,True,False,True,True,True,False,True,False,True,True,False,True,True,False,False,True,True,True,True,False,True,True,False,True,False,False,True,False,False,True,False,False,True,False,False,True,True,False,True,False,True,True,False,True,False,True,True,True,False,True,True,False,True,False,True,True,False,False,False,True,True,False,False,True,True,False,True,False,False,False,True,False,False,False,False,True,True,False,False,True,True,True,True,False,False,False,False,True,False,False,False,False,False,True,False,False,True,True,True,False,False,False,False,True,False,True,True,False,True,True,False,True,False,False,True,True,True,False,False,False,False,True,True,False,False,True,False,False,True,False,True,False,False,True,False,False,False,True,True,True,False,False,True,False,True,True,True,True,False,True,False,False,True,True,True,False,True,False,True,False,False,False,True,False,False,True,False,False,True,False,True,True,True,True,True,False,False,True,True,False,False,False,False,True,True,False,False,True,True,False,False,False,False,False,True,True,False,True,True,True,True,False,True,True,True,False,False,True,True,False,False,False,False,False,True,False,True,True,True,False,True,False,True,False,False,False,True,False,True,True,True,True,True,True,True,True,True,False,False,True,True,True,False,True,False,False,False,True,True,False,True,True,True,True,False,False,True,False,True,False,False,True,True,False,True,True,True,False,True,True,False,True,True,True,False,True,True,False,True,True,True,False,False,False,False,False,True,True,False,False,True,False,True,True,True,False,True,False,False,True,True,False,False,False,True,False,True,False,True,True,True,True,True,False,False,False,True,True,False,False,False,False,True,False,False,False,True,True,True,False,False,True,True,False,True,True,True,False,True,False,True,True,True,False,True,True,True,True,True,False,True,False,False,True,True,False,True,True,True,False,True,False,False,False,True,False,True,True,False,False,True,True,True,True,False,True,False,True,False,False,False,False,False,False,False,False,True,True,False,True,True,True,True,False,True,False,False,True,True,False,False,False,False,True,True,True,False,False,False,True,False,False,True,False,True,False,True,True,True,False,False,False,True,True,False,False,True,True,True,False,False,False,False,True,True,False,True,False,False,True,True,True,False,True,False,True,False,True,True,True,False,False,False,False,True,True,False,False,True,False,False,False,True,True,True,False,False,False,False,True,False,True,True,True,False,False,False,False,False,True,True,True,True,False,False,False,True,False,True,False,False,True,False,True,False,False,True,False,True,False,True,False,True,True,False,False,True,True,False,True,True,True,True,True,True,False,False,False,False,True,False,True,False,False,True,False,False,False,True,False,True,True,True,False,False,False,True,False,True,True,False,True,True,True,True,True,False,True,False,True,False,False,True,True,False,True,False,False,False,True,True,True,False,True,True,False,True,False,True,True,False,True,False,False,True,True,False,False,True,True,False,False,False,True,False,False,True,True,False,False,True,True,True,True,True,False,False,False,True,False,True,True,True,False,True,False,False,True,False,True,False,True,True,False,True,False,True,True,True,True,True,True,False,True,False,False,True,False,True,False,True,True,False,True,True,True,False,True,True,False,False,True,True,False,True,False,True,False,False,True,False,True,False,True,True,True,True,False,False,True,True,True,False,False,True,True,True,True,False,False,False,True,True,False,False,False,True,True,False,True,False,False,True,False,False,False,True,False,True,False,True,True,True,False,False,True,False,False,True,False,False,True,False,True,False,False,True,False,False,True,False,True,True,False,False,True,False,False,True,True,True,False,False,True,False,False,True,False,False,False,True,False,False,False,False,True,False,True,False,True,True,True,False,True,False,True,False,False,False,False,False,False,False,True,False,True,False,False,False,False,False,True,False,False,False,True,True,False,True,False,False,True,True,True,True,True,True,True,True,True,True,True,True,False,True,False,False,True,True,True,False,False,False,True,False,True,True,True,False,False,False,True,True,False,True,False,True,False,True,False,False,True,True,False,True,False,False,True,True,False,False,True,False,True,False,False,False,True,True,True,True,False,True,False,False,False,False,False,True,True,False,True,False,False,True,False,False,True,True,False,True,True,True,False,False,True,True,True,False,True,True,False,False,False,True,False,False,True,False,False,True,True,False,True,False,True,False,True,True,False,True,True,False,False,False,True,True,True,True,False,True,True,True,True,False,False,False,False,False,False,False,True,False,False,False,False,False,True,True,False,False,True,False,True,True,True,False,True,False,True,True,False,True,True,False,True,True,True,False,True,True,True,True,True,True,False,True,True,True,True,False,True,True,False,False,False,False,True,True,False,True,True,True,True,False,False,True,True,True,True,True,True,True,True,False,False,False,False,True,False,True,True,True,True,True,True,True,True,False,False,False,False,False,True,True,False,True,True,False,False,False,True,True,False,False,True,True,True,True,True,True,False,False,True,True,False,False,True,True,True,False,False,False,False,False,True,True,True,False,True,True,False,False,False,True,False,False,True,True,False,False,True,True,False,True,True,True,True,True,False,True,True,True,True,True,False,False,True,False,True,True,False,False,True,True,True,True,False,False,True,True,False,True,True,False,True,False,False,True,True,False,False,True,True,True,False,False,True,False,False,True,False,False,False,True,True,False,False,True,False,False,False,False,True,True,False,False,False,False,True,False,False,False]</t>
  </si>
  <si>
    <t>[True,False,True,True,True,True,False,False,True,False,True,True,False,True,True,True,False,False,False,False,True,True,False,True,True,True,True,False,False,True,True,True,True,False,True,True,False,False,False,True,True,False,False,False,True,True,False,False,True,True,True,True,True,False,True,False,False,True,True,True,False,True,True,False,True,True,True,True,True,False,False,True,False,False,False,True,True,True,False,True,True,True,False,False,True,True,True,True,True,False,True,True,True,True,True,False,True,True,True,False,False,True,True,True,True,False,True,False,True,True,True,True,True,True,True,True,True,True,True,True,True,False,True,False,True,True,True,True,True,False,True,True,False,True,True,True,False,True,False,True,True,False,True,False,False,False,False,True,True,True,False,False,True,True,True,False,False,True,True,False,True,True,True,True,False,False,True,False,True,False,True,False,False,False,True,True,True,True,True,True,True,False,True,False,True,True,True,True,True,False,True,True,True,True,False,False,False,True,False,True,False,False,True,True,False,False,False,True,True,False,True,False,True,True,False,True,True,False,True,False,False,False,True,True,True,True,True,True,True,False,True,False,False,False,True,True,True,True,True,True,True,False,True,True,True,True,True,False,False,True,False,True,False,False,False,True,True,False,True,False,True,True,False,True,False,True,False,True,True,True,False,False,True,True,True,True,True,True,True,True,False,False,False,False,False,True,True,True,True,True,True,True,True,False,True,False,True,False,True,True,True,True,True,True,False,True,True,True,False,False,False,False,True,True,True,True,True,False,True,True,False,True,False,False,True,False,True,True,True,True,False,True,True,True,True,False,False,False,False,True,True,False,True,True,False,False,True,False,False,True,False,False,True,True,False,False,True,True,True,False,True,True,True,False,False,True,False,True,True,True,False,True,True,True,False,True,False,True,True,True,True,True,False,False,True,True,True,True,True,False,False,True,True,True,False,True,True,True,False,False,True,False,False,True,False,True,True,True,True,True,True,False,True,True,False,False,True,True,True,True,True,True,True,True,True,True,True,True,False,True,True,True,True,True,False,False,True,True,True,False,False,False,True,True,True,False,False,True,True,True,True,True,True,False,True,True,True,False,True,True,True,True,True,True,False,True,True,True,False,True,False,True,False,True,True,False,True,True,True,False,True,True,False,True,True,True,True,True,True,True,True,False,True,False,True,True,True,True,False,False,True,False,True,False,True,True,True,True,False,False,True,False,True,False,True,False,False,False,False,True,False,True,True,True,False,True,True,True,True,False,False,False,False,True,False,True,True,True,False,False,True,True,True,True,True,True,False,True,False,True,True,False,True,False,True,False,False,False,True,True,False,True,True,False,False,True,True,True,True,True,True,True,False,False,True,False,False,True,True,False,True,True,True,True,True,True,True,False,True,False,False,True,False,True,False,False,False,True,True,False,True,True,True,True,False,True,True,True,True,True,False,False,True,True,True,True,False,True,True,False,True,True,True,False,False,False,True,True,True,True,True,False,True,True,False,True,True,False,False,True,True,True,True,True,True,False,True,False,True,False,True,False,True,False,True,True,True,True,True,False,True,False,False,True,False,False,False,True,True,False,True,False,True,True,True,False,True,True,True,True,True,True,True,True,True,True,True,False,True,True,True,True,False,False,True,True,True,True,True,False,False,True,False,True,True,False,True,True,True,False,True,True,True,True,False,True,True,False,False,False,False,True,False,False,True,True,True,False,True,False,False,True,True,False,True,True,True,True,True,False,True,False,True,False,True,True,True,False,True,True,True,True,True,True,True,True,True,True,True,False,True,True,True,True,True,True,True,True,True,True,True,True,False,True,False,False,True,False,True,False,True,True,True,False,True,False,True,True,True,False,True,True,True,False,True,True,True,True,True,True,True,True,False,False,False,False,False,True,False,True,False,True,True,True,False,False,True,True,False,True,True,False,True,True,True,False,True,True,True,False,True,True,False,True,True,True,False,False,True,True,True,True,True,False,False,True,True,False,True,False,False,True,False,True,True,True,False,True,True,False,False,True,True,False,True,True,True,True,False,False,False,False,False,True,True,True,True,False,False,True,True,True,True,True,True,True,True,True,False,True,True,False,True,True,False,True,True,True,True,True,True,True,False,True,True,False,False,False,True,False,True,False,True,True,True,True,True,True,True,True,True,True,True,True,False,False,False,True,False,True,True,True,False,False,False,True,True,True,True,True,False,False,False,True,False,True,False,True,True,True,True,False,False,True,False,True,True,True,True,True,False,False,True,False,True,True,True,False,True,True,False,True,True,False,True,False,True,True,True,False,True,False,False,True,True,True,True,False,False,False,True,True,True,True,True,True,True,False,True,True,True,False,False,True,False,False,True,True,True,False,True,True,True,True,True,True,False,True,True,True,False,True,True,True,False,False,True,True,True,True,True,True,True,True,True,True,True,True,True,False,False,True,False,True,True,True,False,True,True,True,True,False,False,False,True,False,True,True,False,False,True,True,False,True,True,True,True,True,True,True,False,False,True,True,True,True,True,True,True,True,True,True,True,False,False,True,True,False,True,True,False,False,True,True,False,True,False,False,True,False,True,True,False,True,True,True,False,False,True,True,True,True,True,False,True,True,True,False,True,True,True,True,True,True,True,False,True,True,True,True,True,True,True,False,True,False,True,False,True,True,True,True,False,True,True,True,True,True,False,True,False,True,True,True,True,True,True,True,False,True,True,True,True,True,True,True,True,True,True,True,False,False,False,False,True,True,True,False,False,False,False,True,True,False,True,True,False,False,True,False,True,True,True,False,True,False,True,False,True,True,False,False,True,False,False,False,False,True,False,False,True,True,True,True,True,True,True,False,True,False,True,True,True,False,True,True,True,False,True,True,True,True,True,True,True,True,False,True,True,False,False,True,False,True,True,True,True,False,False,False,True,False,True,True,True,True,False,False,True,True,False,True,True,True,False,True,True,True,False,False,True,False,False,False,True,True,False,True,False,True,True,True,True,False,True,True,False,True,True,True,True,False,True,False,True,False,True,True,True,True,True,False,False,True,True,False,True,True,True,True,True,False,True,True,True,True,False,True,True,False,False,True,True,True,True,False,True,True,True,True,True,True,True,True,False,True,True,True,False,False,False,False,True,True,True,True,True,True,True,True,True,True,False,True,False,True,True,True,True,True,False,True,True,True,False,True,True,True,True,False,True,True,True,True,True,False,False,False,True,True,False,True,False,True,False,True,True,False,False,True,True,False,False,True,True,True,True,False,True,False,False,True,False,True,False,False,True,False,True,False,True,False,True,True,True,True,False,True,True,True,True,False,False,True,True,False,True,False,True,True,True,True,True,False,False,True,True,True,False,True,True,False,False,False,True,True,True,True,True,False,True,False,False,True,True,False,False,False,True,True,True,False,False,False,True,True,True,True,True,True,False,True,False,False,False,True,True,True,True,False,True,True,False,False,True,False,True,True,False,False,True,True,False,True,True,True,True,True,True,False,True,True,True,True,True,True,True,True,True,True,False,True,True,True,True,False,False,False,True,True,True,True,True,True,False,True,True,True,True,False,False,True,False,True,False,True,False,False,False,False,True,True,True,False,False,True,False,True,False,True,True,True,False,False,True,False,False,False,False,True,True,True,True,True,True,False,True,True,False,True,True,True,True,False,True,False,True,False,False,True,True,True,False,True,False,True,True,True,False,True,False,False,False,True,True,False,True,False,True,False,True,False,False,False,True,True,True,True,True,True,False,True,True,True,True,True,True,True,True,True,True,False,True,True,False,True,True,True,False,True,True,True,True,False,True,False,True,True,False,True,False,True,True,True,False,True,False,True,True,True,False,False,False,False,True,True,True,True,True,True,True,True,True,True,False,False,True,True,True,True,True,True,True,True,True,True,True,True,True,True,False,True,True,False,False,False,True,True,True,True,True,True,False,False,False,True,True,False,True,True,False,False,False,True,True,False,True,True,True,False,True,False,True,False,False,True,False,True,False,True,True,True,True,True,False,True,True,False,True,True,True,True,True,True,True,False,False,False,True,True,True,True,True,False,True,False,True,False,True,True,False,True,True,False,False,True,True,True,True,True,False,False,True,False,True,False,True,False,True,True,True,True,True,False,False,False,True,True,False,True,False,True,False,False,False,False,True,True,False,True,True,True,True,True,False,False,True,True,True,False,False,True,True,False,False,True,True,True,False,True,True,False,True,True,True,False,True,True,True,True,True,False,False,False,True,True,False,False,False,False,True,True,True,False,False,True,False,False,False,True,True,False,False,False,True,False,False,False,True,True,False,True,True,True,False,False,True,True,False,True,True,True,True,True,False,True,True,True,False,True,True,False,False,True,False,False,True,True,True,False,False,True,True,False,True,False,True,True,False,True,True,True,False,True,True,True,True,True,False,True,False,False,True,True,False,True,False,False,True,True,True,True,True,True,True,False,True,False,False,False,False,True,True,True,True,True,True,True,True,True,True,True,False,True,True,True,True,True,False,False,False,True,True,True,True,False,True,False,True,True,True,True,True,True,True,True,False,True,True,False,False,False,True,True,True,False,True,True,False,False,True,False,False,True,True,True,True,True,True,True,True,True,True,True,True,True,False,True,True,True,False,False,True,True,True,False,False,False,True,True,True,False,True,False,False,True,True,True,False,False,False,False,False,True,True,True,True,True,True,True,False,True,False,True,True,False,True,False,False,True,False,True,True,True,True,True,True,False,True,False,True,True,True,True,False,True,True,True,True,True,True,True,True,True,True,False,True,True,False,True,False,True,True,True,False,False,False,True,False,True,False,True,False,False,True,False,True,True,True,True,True,False,True,False,False,True,True,True,True,True,True,True,True,False,True,False,False,True,True,False,True,True,False,True,False,True,False,False,False,True,False,True,True,True,True,True,True,False,True,True,True,True,True,True,True,True,False,True,False,True,False,False,True,True,False,True,True,False,True,True,True,True,True,False,False,True,True,True,False,True,True,False,False,True,True,True,True,False,True,True,False,False,False,True,False,True,True,False,True,False,False,True,False,True,True,True,False,True,True,True,False,True,False,True,False,True,True,False,True,True,False,True,False,False,True,True,True,True,True,False,False,True,True,False,False,True,True,True,False,True,False,True,True,True,False,False,False,True,True,True,False,False,True,True,True,True,True,True,False,True,True,True,True,False,True,True,True,True,True,True,False,True,False,True,True,True,True,True,True,True,True,False,True,True,False,False,True,True,True,True,True,False,False,True,True,True,True,True,False,True,True,True,False,True,False,False,False,False,True,True,True,False,True,False,False,True,False,True,True,True,True,True,True,False,True,False,True,True,False,True,True,False,True,False,True,False,True,True,True,True,True,True,True,False,False,True,False,False,False,False,True,True,False,True,True,False,True,True,False,False,False,True,True,False,False,True,True,True,True,True,True,False,True,True,True,False,True,True,False,True,True,False,True,True,True,False,True,True,False,False,True,True,True,False,False,True,True,False,False,False,False,False,True,True,True,True,True,False,False,True,True,True,True,False,False,False,True,True,True,True,True,True,True,True,True,False,False,True,True,False,True,True,True,True,False,True,False,False,True,True,True,True,False,True,True,True,False,True,False,False,True,False,True,True,True,True,True,True,True,True,True,True,True,False,False,True,True,False,True,True,True,False,True,True,True,False,True,False,True,True,True,True,False,False,True,True,False,False,True,True,False,True,False,True,True,True,True,True,False,True,True,True,False,True,True,True,False,False,True,True,True,True,True,True,True,True,True,True,True,True,False,True,True,True,True,True,True,True,True,True,True,True,True,True,False,True,True,False,False,False,True,False,True,True,False,True,True,False,False,True,True,False,False,True,True,True,False,True,False,True,False,True,True,True,True,False,False,False,True,True,False,True,True,True,True,False,False,True,True,True,True,False,True,True,True,True,True,False,True,False,True,True,True,False,False,True,True,False,True,True,True,True,True,False,True,True,True,False,True,True,False,True,False,True,True,True,False,True,True,True,True,True,False,True,True,True,False,True,True,False,False,True,False,False,True,False,False,True,True,False,True,True,True,False,True,True,False,True,False,True,True,True,False,True,True,True,True,True,False,True,False,False,True,True,True,False,True,True,False,True,True,True,True,True,True,True,False,True,False,True,False,True,True,True,True,False,True,True,False,False,True,True,True,True,False,True,False,True,True,True,True,True,True,False,True,False,False,False,True,True,False,True,True,False,False,True,False,True,True,False,True,True,False,False,False,False,True,False,True,True,False,True,True,True,False,False,True,True,True,True,True,False,True,True,True,False,True,False,False,True,True,True,True,True,True,False,True,False,True,True,False,True,False,False,True,False,False,True,False,True,True,False,True,False,False,True,True,True,True,True,True,True,True,False,True,True,True,False,True,True,False,False,False,True,True,True,True,False,True,False,True,True,True,False,True,True,True,True,True,True,True,True,False,False,True,False,True,True,True,True,True,False,True,True,False,False,False,False,True,False,True,False,True,False,False,True,True,True,True,True,True,False,False,False,False,True,False,False,False,True,True,True,True,True,False,True,True,False,True,True,True,False,True,False,True,False,True,False,False,True,False,True,False,False,True,True,True,False,False,False,True,True,False,True,True,False,False,True,False,False,False,True,True,False,True,False,False,False,True,True,False,True,False,True,False,True,True,True,False,True,False,True,True,True,True,True,True,True,True,False,False,True,True,True,True,False,True,True,True,True,True,True,True,True,True,False,True,True,True,False,True,True,True,True,True,True,False,True,True,True,False,True,True,True,False,True,False,False,True,True,True,True,True,False,True,True,True,True,False,True,False,True,True,True,True,True,False,False,True,False,True,False,True,False,True,True,True,False,True,False,True,False,True,False,False,False,True,False,False,True,False,False,True,False,True,False,True,True,True,True,False,True,False,False,False,True,True,False,True,True,False,False,True,False,True,False,True,True,True,True,True,True,True,True,True,True,True,True,True,True,False,False,True,True,True,True,False,True,True,True,False,True,True,False,True,False,True,True,False,True,True,False,False,True,True,True,True,True,True,True,True,True,True,True,False,True,False,True,True,False,True,True,True,False,False,True,False,True,True,False,True,False,True,True,True,True,False,True,True,False,False,True,True,True,False,False,False,False,True,True,False,True,True,True,True,False,True,True,True,True,True,True,True,False,True,False,True,False,True,False,False,False,False,False,True,False,True,False,True,True,False,False,True,True,True,True,True,False,False,True,True,True,False,True,False,False,True,False,False,True,True,False,False,True,True,False,False,False,True,True,True,False,True,True,True,True,True,True,True,False,True,False,True,False,True,True,True,True,False,True,True,True,True,True,True,False,True,True,True,False,True,False,True,True,False,True,False,True,True,True,False,True,True,True,False,True,False,True,True,True,True,True,True,False,False,True]</t>
  </si>
  <si>
    <t>FigS35A_Sim_Seen_Nominal</t>
  </si>
  <si>
    <t>LBM (Fixed) zeroshot</t>
  </si>
  <si>
    <t>[True,True,True,False,True,True,True,True,True,True,True,False,True,False,False,True,False,False,False,True,True,True,True,True,False,False,True,True,True,True,True,True,False,True,True,True,True,True,True,False,True,True,False,True,True,True,True,True,True,True,True,True,True,True,True,True,True,True,True,False,True,True,True,True,True,True,False,True,False,True,True,True,False,True,False,True,True,False,False,False,False,True,True,True,False,True,True,True,True,True,True,True,True,False,True,True,False,True,True,True,True,False,False,True,True,False,False,False,False,True,True,True,False,True,True,False,True,True,False,True,True,True,True,True,True,True,True,True,False,True,True,True,False,True,False,True,True,False,True,True,True,True,True,True,True,True,True,True,False,True,False,True,True,True,True,True,True,False,True,True,True,True,True,False,True,False,False,True,False,False,False,True,True,True,False,True,True,False,True,True,True,True,True,False,False,True,True,False,True,True,False,True,False,False,False,True,True,True,False,True]</t>
  </si>
  <si>
    <t>[True,True,True,True,True,False,True,True,True,True,True,True,False,True,False,True,True,True,True,True,True,True,True,True,True,True,True,True,False,True,False,True,True,True,True,True,True,True,True,False,False,True,True,True,True,True,True,True,True,True,True,False,True,True,True,True,True,False,True,True,True,False,True,True,True,True,True,True,True,True,True,True,False,True,True,True,True,True,True,True,True,True,True,True,True,True,True,True,True,False,True,True,True,True,True,True,True,False,True,True,False,True,False,True,False,True,True,True,True,True,True,True,False,True,False,True,False,False,True,True,True,True,True,True,True,True,True,True,True,True,True,True,True,True,True,True,True,True,False,True,True,True,True,True,True,True,True,True,True,True,True,True,True,True,False,False,True,True,True,True,True,True,True,True,True,True,True,True,True,True,True,False,True,True,True,True,True,True,True,True,True,True,True,True,True,True,True,True,True,True,True,False,True,True,True,True,True,False,True,True]</t>
  </si>
  <si>
    <t>[True,True,True,True,True,True,False,True,True,True,True,True,True,False,True,True,True,True,True,True,True,True,True,True,True,True,True,False,True,True,True,True,False,True,True,True,True,True,False,True,True,True,True,True,True,True,True,True,True,True,True,True,True,True,True,True,True,True,True,True,False,True,True,True,True,True,False,True,True,True,False,True,True,True,True,True,True,True,True,False,True,True,False,True,True,True,False,True,True,False,True,True,True,True,True,True,True,True,True,True,False,False,True,True,True,True,True,True,True,True,False,True,True,False,True,True,True,True,False,True,False,True,True,True,False,True,True,True,True,True,True,False,True,False,True,True,True,True,True,True,True,False,False,True,True,True,True,True,True,True,False,False,True,False,True,True,True,True,True,True,True,True,True,True,True,True,True,True,True,True,True,False,True,True,True,True,True,True,False,True,True,True,True,False,True,True,True,True,True,False,True,True,True,True,True,True,True,True,True,True]</t>
  </si>
  <si>
    <t>[True,True,False,True,True,True,True,False,True,True,False,True,True,True,True,True,True,True,True,True,True,False,True,True,True,True,True,True,True,True,False,True,True,True,True,True,True,True,False,False,True,True,True,True,True,False,False,True,True,True,True,True,True,True,False,True,True,False,True,True,True,True,True,True,True,True,True,True,True,True,True,True,True,True,False,True,True,False,True,False,True,False,True,False,True,False,True,True,True,True,False,True,False,True,True,True,True,True,True,True,True,True,True,True,True,True,True,True,False,True,True,True,True,True,True,True,True,True,True,True,True,True,False,True,False,True,True,True,True,True,True,False,True,True,True,True,True,True,True,True,False,True,True,True,False,True,True,True,True,True,True,True,True,True,True,False,True,True,True,True,True,True,True,False,False,False,True,True,True,True,False,True,True,True,True,True,True,True,True,True,False,True,True,False,True,True,True,True,True,True,True,True,True,True,True,True,True,False]</t>
  </si>
  <si>
    <t>[True,True,True,True,False,True,True,False,True,True,False,True,True,True,True,True,True,True,True,False,True,True,True,False,True,True,True,False,False,True,True,True,True,True,True,True,True,True,True,True,True,True,True,True,True,True,False,False,True,True,True,True,True,True,True,True,True,False,False,True,True,True,True,True,True,True,True,True,True,True,True,True,False,True,True,False,False,True,True,False,False,False,True,True,True,True,False,True,True,True,False,True,False,True,False,True,True,True,True,True,True,True,False,True,True,True,False,True,True,True,True,True,True,True,True,True,True,True,True,True,True,True,True,True,True,True,True,False,True,True,False,True,False,True,True,True,True,True,True,True,True,True,True,True,True,True,True,False,True,True,True,True,True,True,False,True,False,True,True,False,True,True,True,False,True,True,True,True,False,False,True,True,True,True,True,False,True,True,True,True,True,True,True,True,True,True,True,False,False,True,True,False,True,True,True,True,True,True,True,True]</t>
  </si>
  <si>
    <t>[True,True,True,True,True,True,True,True,True,True,True,True,True,True,True,False,True,True,True,True,True,True,True,True,True,True,True,True,True,True,True,True,True,True,True,True,True,False,True,True,True,True,True,True,True,True,True,True,True,True,True,True,True,True,True,True,True,True,True,True,True,True,False,True,True,False,True,True,True,True,True,True,True,True,True,True,True,True,True,True,True,True,True,True,True,True,False,True,True,True,True,True,True,True,True,True,True,True,True,True,True,True,True,True,True,True,True,True,True,True,True,True,True,True,True,True,True,True,False,True,True,True,True,True,True,False,False,True,True,False,True,True,True,True,True,True,True,True,True,True,True,False,True,True,True,True,True,True,True,True,True,True,True,True,True,True,True,True,True,True,True,True,True,True,True,True,True,True,True,True,False,True,True,True,True,True,True,True,True,True,True,True,True,True,True,True,True,True,True,True,True,True,True,True,True,True,True,True,True,True]</t>
  </si>
  <si>
    <t>[True,True,True,True,True,True,True,True,True,True,False,True,True,True,True,True,True,True,False,True,True,True,True,True,True,True,False,False,False,True,True,True,True,True,True,True,True,False,True,True,True,True,True,True,True,True,True,True,True,True,True,True,True,True,True,True,True,True,True,True,True,True,True,True,True,True,True,True,True,True,False,True,True,True,True,True,True,True,True,True,True,True,True,True,True,True,True,True,True,True,True,True,True,True,True,True,True,True,True,True,True,True,True,True,True,True,True,True,True,True,True,False,True,True,True,True,True,True,True,True,True,True,True,True,True,True,True,False,True,True,True,True,True,True,True,True,True,True,True,True,True,True,True,True,True,True,True,True,True,True,False,True,True,False,True,True,True,True,True,True,True,True,True,False,True,True,True,True,True,True,True,True,True,False,True,True,True,True,False,True,True,True,True,True,True,True,False,False,True,True,True,True,True,True,True,True,True,True,True,True]</t>
  </si>
  <si>
    <t>[True,True,False,False,True,False,True,True,True,True,True,True,True,True,True,True,True,False,True,True,True,True,True,True,True,True,True,False,True,False,True,True,True,False,True,True,True,False,True,True,True,True,True,False,True,True,True,True,False,True,False,False,True,True,True,True,True,True,True,True,True,True,True,True,True,True,True,False,True,True,False,True,True,True,True,False,True,True,True,True,True,False,False,True,True,True,False,True,True,True,True,True,True,True,True,True,True,True,True,True,False,True,True,False,True,True,True,True,True,True,False,True,True,True,True,False,True,True,True,True,True,True,True,False,False,True,False,True,True,True,True,True,True,True,True,True,True,True,False,True,True,True,True,True,False,True,True,True,True,True,True,False,True,False,True,True,True,True,True,False,True,True,False,True,False,True,True,True,True,True,True,True,True,True,True,True,True,False,True,False,True,True,True,True,True,False,False,True,True,True,True,False,True,True,True,False,True,True,True]</t>
  </si>
  <si>
    <t>[False,False,True,True,False,True,False,True,False,False,False,False,True,False,False,False,False,False,True,True,False,False,False,True,False,False,True,False,True,False,False,False,True,False,True,True,False,True,True,True,False,False,True,True,True,False,False,True,False,True,False,True,False,True,True,False,False,True,True,False,True,False,False,False,False,False,False,True,False,False,False,True,True,True,True,False,True,True,False,False,True,False,False,False,True,False,False,False,False,False,True,True,True,False,True,False,False,True,False,False,False,True,False,True,True,False,True,False,True,True,False,False,True,True,True,False,False,False,True,True,True,True,True,True,True,False,True,True,False,False,True,False,False,True,False,True,True,True,False,False,False,False,True,True,True,False,False,False,True,True,False,False,True,False,False,True,True,True,False,False,False,False,True,True,True,True,True,False,False,False,False,True,True,True,True,True,True,True,False,True,True,True,False,False,False,False,True,False,True,False,True,False,False,False,False,False,False,False,True,True]</t>
  </si>
  <si>
    <t>[True,True,True,True,True,True,True,True,True,True,False,False,False,True,True,True,True,True,True,False,False,False,False,True,True,False,False,False,False,False,True,False,True,False,True,False,True,True,False,True,True,True,False,False,True,True,True,False,True,False,True,True,True,True,True,True,True,True,True,False,False,True,True,True,True,False,False,True,False,True,True,True,True,False,False,False,True,True,False,False,False,True,True,False,True,True,True,True,False,True,True,True,True,True,True,True,False,True,False,True,False,False,True,False,False,True,True,True,False,True,True,False,False,False,True,True,True,False,False,False,True,True,False,True,True,False,False,False,False,True,True,True,True,True,True,False,False,True,True,True,True,True,False,True,False,True,True,False,False,True,True,False,True,True,False,False,True,False,True,False,True,True,False,False,True,True,True,False,False,True,True,True,False,True,True,True,False,True,True,False,False,False,False,False,False,False,True,False,True,True,False,True,True,True,True,False,True,True]</t>
  </si>
  <si>
    <t>[False,True,False,False,False,False,False,False,False,False,False,False,True,False,False,True,False,False,False,False,False,False,False,True,True,True,False,False,False,False,True,True,False,False,False,False,False,False,False,True,False,False,False,True,False,False,False,False,False,False,False,False,False,False,True,False,False,True,False,False,False,False,False,False,False,False,False,False,False,False,False,True,False,True,False,False,True,False,False,True,False,False,True,False,True,False,False,False,True,True,True,False,False,False,True,True,True,False,False,False,False,True,False,False,False,False,False,False,False,False,False,False,True,False,False,False,True,False,True,True,False,False,False,False,False,False,False,False,False,True,False,False,False,False,False,False,True,False,True,False,False,False,False,False,True,False,False,False,False,False,False,False,False,False,False,False,True,False,True,True,False,False,False,False,False,True,False,False,False,False,False,False,False,True,False,False,False,False,False,True,False,False,False,False,False,False,False,False,False,False,False,False,False,False,False,False,False,False]</t>
  </si>
  <si>
    <t>[False,False,False,False,False,False,False,False,False,False,False,False,False,False,False,False,False,False,False,True,False,Tru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True,False,False,False,False,False,False,False,False,False,False,True,False,False,False,False,False,False,False,False,False,False,False,False,False,False,False,False,False,False,False,False,False,False,False,False,False,False,Tru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</si>
  <si>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bc</t>
  </si>
  <si>
    <t>[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False,False,False,False,False]</t>
  </si>
  <si>
    <t>[True,True,True,True,True,False,True,True,True,False,False,False,True,True,False,True,True,True,True,False,False,False,True,True,True,True,False,True,True,False,True,False,True,True,True,False,False,True,True,True,False,False,True,True,True,False,True,False,False,True,True,False,True,True,True,True,True,True,False,True,True,True,True,True,True,True,True,False,True,False,True,True,True,True,False,True,True,True,False,False,True,True,True,True,False,False,True,False,True,True,True,False,True,True,True,False,True,True,False,True,True,True,True,False,True,True,True,True,False,True,True,True,True,True,False,False,True,True,False,True,True,True,True,False,True,True,True,False,True,False,False,True,False,True,True,False,True,True,False,True,True,False,True,False,True,True,True,True,True,True,True,True,True,False,True,True,False,False,False,False,True,True,True,False,True,False,False,True,True,True,False,True,True,True,False,True,False,True,True,True,False,True,False,True,True,False,True,True,True,True,True,False,True,True,True,False,True,True,False,True]</t>
  </si>
  <si>
    <t>[True,True,True,True,False,True,True,True,True,True,True,True,False,True,True,True,True,True,True,True,True,True,True,True,True,False,True,False,False,False,False,False,False,True,True,True,False,False,True,True,False,True,True,True,True,True,False,False,True,True,False,True,False,True,True,True,True,True,True,True,True,True,True,True,True,True,True,True,False,False,True,True,True,True,True,True,False,False,True,True,True,True,True,True,True,False,True,True,True,True,True,False,False,True,True,True,True,True,True,True,True,True,True,False,True,True,True,True,True,True,True,True,False,False,True,True,True,True,False,True,True,True,True,True,True,True,True,True,True,True,False,True,True,True,True,False,True,True,True,True,False,True,True,True,True,True,False,True,False,False,True,True,True,False,True,True,True,True,True,True,True,True,False,True,True,True,True,True,True,True,True,False,True,True,True,True,True,True,False,True,True,True,True,False,True,True,True,True,False,True,False,True,True,True,True,True,False,True,True,True]</t>
  </si>
  <si>
    <t>[True,False,False,False,False,True,True,True,True,True,False,True,True,True,True,False,False,False,False,False,True,True,False,False,True,True,True,False,True,True,False,False,True,False,True,True,True,True,True,True,False,False,False,True,True,True,False,True,True,True,True,True,True,False,False,True,True,False,False,True,True,False,True,True,False,True,True,True,True,True,False,False,False,True,False,False,False,False,True,True,True,True,True,True,True,True,True,True,True,True,True,True,False,False,True,True,True,True,True,False,True,False,True,True,False,True,True,False,True,True,True,True,True,True,False,True,True,True,True,True,False,True,True,True,True,False,False,True,False,True,True,False,True,True,True,True,True,True,False,False,True,True,False,True,False,False,True,True,True,False,True,False,False,True,False,False,True,True,True,False,True,True,False,True,True,False,False,True,True,True,False,False,False,True,False,True,True,False,True,True,True,False,True,False,True,False,True,True,True,True,False,True,True,True,True,True,False,True,False,True]</t>
  </si>
  <si>
    <t>[False,True,True,False,True,False,False,True,True,True,False,False,False,True,False,False,False,False,True,True,False,False,False,True,True,True,True,True,False,True,True,False,False,False,False,True,True,False,True,True,False,True,False,True,False,False,False,False,False,False,False,False,False,False,True,True,True,True,True,True,False,True,False,True,True,False,True,True,True,True,False,False,False,True,False,False,True,True,False,True,False,False,True,True,False,False,False,False,False,False,True,True,False,True,True,False,True,False,True,True,True,False,True,True,False,False,False,False,False,False,True,True,True,True,False,True,False,False,True,True,True,True,False,False,True,True,False,False,True,False,False,True,False,False,True,False,False,True,True,True,True,True,True,False,False,False,False,True,False,True,False,True,True,False,True,False,False,False,False,False,False,False,True,False,True,False,False,True,True,False,False,False,True,True,False,False,False,True,False,False,True,True,False,True,False,True,True,False,False,True,True,True,False,False,True,True,False,True,False,False]</t>
  </si>
  <si>
    <t>[True,False,True,True,False,True,True,True,True,True,False,True,False,True,True,True,True,True,False,False,True,True,True,True,True,False,True,False,False,True,False,True,False,True,True,True,False,True,False,True,True,True,False,True,True,True,False,False,False,False,False,False,True,True,True,True,True,False,False,False,False,False,True,True,True,False,False,True,True,True,True,True,False,False,True,True,True,False,True,False,True,True,True,True,True,True,True,False,False,False,True,True,False,False,False,True,False,True,False,False,True,False,False,True,True,False,False,True,False,True,False,True,True,False,True,False,False,True,False,False,True,False,False,True,False,True,False,False,True,True,False,True,True,False,False,False,True,False,False,False,True,True,True,False,True,True,True,True,True,True,False,True,True,True,True,False,True,True,False,True,True,True,True,False,True,False,True,True,True,False,False,True,True,True,True,False,False,True,True,True,False,True,True,True,True,True,True,True,True,False,False,False,False,True,True,True,True,False,True,True,True,True,False,False,True,True,True,True,True,True,True,True,True,True,True,True,True,True,True,True,False,True,True,False,True,False,True,True,True,True,True,True,True,False,False,False,False,True,True,False,True,True,False,False,True,False,False,False,True,True,False,True,True,True,False,True,False,True,True,True,False,False,True,False,False,True,True,False,False,True,False,False,False,True,True,True,False,False,False,True,False,False,True,True,False,True,False,True,True,False,True,True,True,True,False,True,True,False,True,False,True,True,False,False,True,False,True,True,False,True,False,False,True,True,True,True,False,False,True,True,True,True,True,True,True,False,True,True,False,True,True,False,False,True,False,False,True,False,False,True,True,True,False,True,True,False,True,True,False,False,True,True,True,True,True,False,True,True,True,True,False,False,False,False,False,False,False,False,False,True,False,False,False,True,True,True,False,True,True,True,False,True,True,False,False,True,True,False,False,True,True,False,True,True,True,False,True,True,True,True,True,False,True,False,False,False,False,True,True,False,True,True,True,True,True,False,True,False,False,False,False,True,True,True,False,False,True,False,True,True,True,False,True,False,True,True,True,True,True,False,True,True,True,False,False,True,False,False,True,True,True,False,True,True,True,True,True,True,False,True,False,False,False,False,False,False,True,True,False,True,False,False,False,True,False,True,False,True,True,True,True,False,False,True,True,True,True,True,False,True,True,False,False,True,True,False,True,True,True,False,False,False,False,False,True,False,False,False,True,False,True,True,True,False,True,True,True,False,True,True,True,True,True,True,True,True,False,True,True,True,True,True,True,True,False,True,True,True,True,False,True,True,True,True,False,False,True,True,True,False,False,True,True,True,False,False,True,False,True,True,True,True,False,True,True,False,True,False,True,True,True,True,True,False,True,True,False,False,False,False,True,True,True,True,False,True,True,False,False,False,True,False,True,True,True,False,True,False,False,False,True,False,True,True,True,True,True,True,False,False,False,True,True,False,True,False,False,True,False,True,True,False,True,False,False,False,True,False,False,True,True,True,True,True,True,True,True,False,True,True,True,True,True,False,True,True,False,False,True,True,True,False,True,True,True,True,False,True,False,True,True,True,False,False,True,True,True,True,True,False,True,False,True,False,False,True,True,True,True,True,True,True,False,False,True,False,True,True,True,True,True,True,True,False,False,True,False,False,True,True,False,True,True,False,True,False,False,True,True,True,True,False,False,True,True,True,False,True,True,True,False,False,True,True,False,False,False,True,False,False,True,True,False,False,False,True,True,True,True,True,False,False,True,True,True,False,True,True,True,True,True,True,True,False,True,True,False,True,True,True,True,True,True,True,True,False,True,True,False,True,True,True,True,True,True,True,True,False,True,True,False,False,False,False,False,False,False,True,False,False,False,False,False,True,True,True,False,True,True,False,False,False,False,True,False,True,True,False,False,True,True,False,False,True,False,True,False,True,False,True,True,True,True,True,False,False,False,False,True,True,True,True,True,False,True,False,False,False,True,True,False,True,True,False,True,True,True,True,False,False,True,True,False,True,True,False,True,True,False,False,False,False,True,False,False,True,False,True,False,True,True,True,True,True,True,True,False,False,True,False,False,True,True,True,True,True,True,True,True,True,True,False,True,False,False,True,True,True,False,True,True,True,True,True,False,True,False,True,True,True,True,True,True,True,True,True,False,False,False,False,True,True,True,False,True,True,True,False,False,True,True,True,True,True,False,True,False,False,True,False,True,True,False,True,True,True,False,False,True,True,False,True,False,False,False,True,True,False,False,True,True,False,True,False,True,False,True,True,False,True,False,True,True,True,True,False,True,True,False,True,True,False,False,True,False,False,True,True,False,True,False,False,False,True,True,False,True,True,False,False,False,False,True,False,False,False,True,False,True,True,False,False,True,True,False,True,False,True,False,False,True,False,False,False,True,True,True,True,True,True,False,False,False,True,True,False,True,True,False,True,False,True,True,True,True,False,True,True,False,True,False,True,False,False,True,True,False,False,True,False,True,True,True,False,True,True,False,False,False,False,True,False,True,True,True,True,False,True,True,True,True,True,False,True,False,True,False,True,False,True,True,False,False,True,False,True,False,False,True,True,False,True,True,False,True,False,False,True,True,False,False,False,True,True,False,False,False,True,True,False,True,True,False,False,False,False,True,True,True,False,True,False,False,True,False,True,True,True,True,False,True,True,False,False,True,False,True,False,False,True,False,False,True,True,True,False,True,False,False,False,True,True,True,False,True,True,True,True,True,False,True,False,True,False,False,True,True,True,True,True,True,True,True,True,False,False,False,True,True,False,False,False,True,True,True,False,True,False,False,False,True,False,False,False,True,True,False,True,True,True,True,False,True,True,True,True,True,False,True,True,True,True,True,True,False,False,True,True,True,True,True,True,True,False,False,True,False,True,True,True,True,True,False,True,False,True,True,True,True,False,False,True,False,False,False,True,True,True,True,True,True,True,True,True,True,True,False,False,False,True,False,True,False,False,True,True,True,True,False,True,False,False,True,False,True,False,True,True,False,True,True,True,True,True,True,True,True,True,True,False,True,True,False,True,True,False,False,False,True,True,True,True,False,True,True,True,False,False,False,True,False,True,False,False,False,True,True,False,True,True,True,False,False,True,True,True,True,False,False,True,True,True,False,True,True,True,False,False,True,True,False,True,False,True,False,True,True,False,True,True,True,False,True,False,False,True,False,False,True,True,False,True,False,False,False,False,True,False,False,True,True,False,True,False,False,False,True,False,False,False,False,True,False,True,False,True,False,True,False,False,False,True,True,True,False,False,False,True,False,False,True,True,True,False,False,True,True,True,False,True,True,True,False,False,False,True,False,True,True,True,True,False,True,False,False,True,False,False,True,False,True,True,False,True,True,True,False,False,True,True,True,False,True,False,False,True,False,False,True,False,True,True,True,True,True,True,True,True,True,False,False,False,False,False,True,True,True,False,False,True,True,False,True,True,True,True,True,True,False,True,False,True,False,False,True,True,False,False,True,True,True,True,True,True,True,False,True,True,True,True,True,True,False,False,False,False,True,True,True,False,True,True,True,True,True,True,True,True,True,True,False,False,False,False,True,True,False,True,True,False,True,True,False,True,True,False,False,True,True,False,True,False,False,False,True,True,True,True,True,True,False,False,True,True,True,True,True,False,True,False,False,False,True,False,False,False,False,True,True,True,True,True,True,True,False,False,False,True,False,True,False,True,True,True,True,False,False,False,False,True,True,True,False,True,True,False,False,True,True,True,False,False,False,True,True,True,True,False,False,False,False,True,True,True,False,False,True,True,True,False,False,False,True,False,False,True,True,True,True,True,True,True,True,False,False,True,False,False,False,True,False,True,True,True,False,True,True,False,True,True,False,True,True,True,True,False,True,True,False,True,False,True,False,True,True,True,True,True,True,False,True,True,True,False,False,False,True,True,False,False,False,False,True,True,True,True,False,True,True,True,True,False,False,True,True,True,False,False,False,False,False,True,False,True,True,False,False,True,True,True,True,True,True,True,True,True,True,True,True,False,True,True,False,False,True,True,True,True,True,True,True,False,True,False,True,True,True,False,True,True,False,True,True,False,True,True,False,False,True,True,True,False,True,True,True,True,True,True,True,True,False,True,True,True,False,False,False,True,True,False,False,False,True,True,True,True,True,True,False,True,False,True,True,True,True,False,False,False,False,False,True,True,True,True,True,True,True,False,True,True,True,False,False,True,True,False,True,True,False,True,False,True,False,False,True,False,True,False,False,True,False,True,False,False,False,True,True,False,False,False,True,True,False,False,True,True,True,False,True,True,False,True,True,True,True,False,True,False,True,False,True,True,False,True,False,True,True,False,False,False,False,False,True,True,True,True,False,False,True,True,True,False,False,True,True,True,True,False,False,False,True,True,True,True,False,True,False,False,False,True,False,True,False,False,True,True,False,True,True,False,True,True,False,True,False,True,False,True,True,False,True,False,True,True,False,True,True,True,False,True,True,False,True,True,False,True,False,True,True,True,True,True,False,True,True,True,False,False,True,True,True,True,True,True,True,True,True,False,False,False,False,True,True,True,False,True,False,False,False,True,True,False,True,True,True,True,False,True,False,False,False,True,False,True,True,False,False,False,True,True,True,True,True,True,True,True,True,True,False,False,False,True,True,True,True,True,False,True,True,False,False,True,True,False,True,True,True,False,True,True,False,False,False,False,False,True,True,True,True,True,True,True,False,True,False,False,True,True,False,False,True,True,True,False,True,True,True,False,True,True,True,True,True,True,True,True,True,False,True,True,True,True,False,False,False,True,True,False,True,False,False,False,False,False,True,True,True,True,False,True,False,True,False,True,True,True,True,True,True,True,True,True,True,False,True,False,False,True,False,False,True,False,True,True,True,True,False,True,False,False,True,True,False,True,False,True,True,True,True,False,True,True,False,True,True,False,True,False,True,False,True,False,False,False,False,False,True,True,True,True,False,True,True,False,True,True,False,True,False,True,False,False,True,True,False,True,True,False,False,False,True,False,True,True,False,True,False,True,True,False,True,False,True,False,True,False,True,True,True,False,True,False,True,True,True,False,True,False,True,False,True,True,False,True,True,True,True,False,True,True,False,False,True,True,True,False,True,False,False,True,True,True,False,True,True,True,False,False,False,True,True,True,False,True,True,True,True,True,False,True,False,True,True,True,True,False,True,False,True,False,True,True,True,False,True,False,True,False,False,False,False,False,False,True,True,True,False,True,False,False,False,True,False,True,True,True,False,False,True,True,True,True,True,False,False,True,False,True,False,False,True,False,True,True,True,False,True,True,True,True,False,False,True,True,False,False,False,True,False,False,False,False,False,True,True,False,False,False,True,False,True,False,False,True,False,True,False,True,True,False,True,True,True,True,True,True,False,False,True,True,False,True,True,False,True,True,False,True,False,True,True,True,True,True,False,True,True,True,False,True,True,True,False,True,False,False,False,True,True,True,False,False,False,False,False,False,False,False,True,True,False,False,True,True,False,False,False,True,False,True,False,False,False,True,True,False,False,False,False,False,True,True,True,False,True,True,False,False,True,False,False,False,True,True,True,True,True,True,True,False,False,True,True,False,False,False,False,True,False,True,True,True,False,True,True,True,True,True,True,True,True,False,True,True,False,True,True,True,False,True,True,True,True,True,True,True,False,False,True,False,True,True,True,False,False,False,True,True,True,False,True,True,True,True,True,False,True,False,True,False,True,True,True,True,False,True,True,True,False,True,True,False,True,False,True,True,True,True,True,False,True,True,False,True,False,False,True,True,False,False,True,False,True,True,False,False,True,True,True,True,True,False,False,False,True,False,True,True,True,False,True,True,True,False,True,False,False,True,True,False,True,True,True,False,False,True,True,False,True,True,True,True,False,True,True,True,True,True,False,True,True,True,True,False,True,True,False,False,True,True,False,False,True,True,True,True,True,True,True,False,False,True,True,False,True,True,True,False,True,True,False,True,True,False,False,True,True,True,True,True,True,False,False,True,False,True,True,True,False,True,False,False,False,True,True,False,False,True,False,True,False,True,False,False,True,True,False,True,True,False,False,True,False,True,True,True,True,True,False,True,True,False,False,True,True,True,False,True,True,True,True,True,True,False,False,True,True,True,True,True,True,True,False,True,True,False,True,True,True,True,True,False,False,False,True,False,True,False,True,True,True,True,False,True,True,True,True,True,True,False,False,False,True,True,False,True,True,True,True,False,False,False,False,True,False,True,True,False,False,True,True,True,True,True,True,True,True,True,False,True,False,True,True,True,True,False,False,True,True,True,True,True,False,True,False,True,True,False,True,False,False,True,False,True,True,False,False,True,False,True,False,True,True,False,True,True,True,True,True,True,False,True,True,True,False,False,True,True,False,False,False,False,True,False,False,False,False,True,True,False,False,True,True,True,True,True,True,True,False,True,True,True,True,True,True,True,True,True,False,True,True,False,False,False,False,False,False,True,True,True,False,True,True,True,True,True,True,False,False,False,False,False,True,False,True,False,False,True,True,True,True,False,True,True,True,True,False,True,False,True,False,True,True,True,False,False,True,True,False,True,False,True,True,True,True,True,True,True,True,False,True,True,False,False,True,True,True,True,True,True,True,True,True,True,False,False,False,False,False,False,True,False,True,True,True,True,True,False,True,False,True,True,True,True,True,False,False,False,True,True,True,True,True,True,True,True,True,True,True,True,True,False,True,True,True,False,False,True,True,False,True,True,False,False,False,True,True,True,False,True,False,False,False,True,False,False,True,True,True,False,False,True,True,True,False,True,True,False,True,False,True,True,True,False,False,False,False,True,False,True,True,True,True,True,False,True,False,True,True,True,True,False,True,True,True,False,True,True,False,False,True,False,True,True,True,True,True,True,True,True,False,False,True,True,False,True,True,True,False,True,True,True,False,False,True,False,True,False,True,False,True,True,True,True,True,True,True,False,True,True,True,False,True,True,True,False,True,True,True,True,True,True,True,True,True,False,False,False,False,False,True,False,False,True,True,True,True,False,True,True,True,True,True,False,True,True,False,True,True,False,True,True,True,True,True,True,True,True,True,False,True,True,True,False,False,True,False,False,True,True,True,False,False,False,False,True,True,False,False,True,False,True,True,True,True,True,True,True,True,False,False,False,False,False,False,True,False,False,False,False,True,True,False,True,True,True,True,True,True,False,False,True,True,True,True,True,False,True,False,False,True,False,True,False,True,True,True,True,False,True,False,True,True,False,False,True,True,False,True,False,False,False,False,True,True,False,True,True,False,True,False,True,True,True,True,False,True,True,False,True,False,False,False,True,True,False,False,True,True,True,True,True,True,False,True,False,True,False,True,True,False,True,False,False,True,False,True,True,True,True,False,False,False]</t>
  </si>
  <si>
    <t>FigS35B_Sim_Seen_DistShift</t>
  </si>
  <si>
    <t>[False,False,False,False,True,True,False,True,True,True,True,False,True,True,False,True,False,False,True,True,False,False,True,False,False,True,False,True,False,True,False,True,False,True,True,True,True,True,True,True,True,True,False,True,True,False,False,True,True,False,True,True,True,True,True,True,True,False,True,False,True,False,True,True,False,True,True,True,True,True,False,False,False,True,False,False,True,False,False,True,True,True,True,True,True,True,True,True,True,True,True,True,True,False,True,False,True,True,False,True,True,False,True,False,False,True,True,False,False,True,False,True,False,False,True,True,True,True,False,True,True,False,True,True,True,True,False,True,False,True,True,True,True,True,False,False,True,True,True,True,False,False,False,True,True,True,True,True,False,True,False,False,True,True,True,True,True,False,False,True,False,False,False,False,True,False,False,False,True,True,True,True,True,False,True,True,False,True,True,True,True,False,False,True,False,True,True,False,True,True,True,True,False,True,False,True,True,True,False,True]</t>
  </si>
  <si>
    <t>[True,True,True,True,True,False,True,False,True,True,False,True,True,True,True,False,True,False,False,True,True,True,True,False,True,True,True,False,True,True,True,False,False,False,True,True,True,True,False,True,True,True,False,True,True,True,True,True,True,False,False,False,False,True,False,True,True,True,True,False,True,True,False,True,True,True,False,True,True,False,True,True,True,False,False,True,True,True,True,False,True,True,True,True,False,True,True,True,True,True,True,False,True,False,False,True,False,False,True,True,True,True,False,True,True,True,True,False,True,True,True,False,True,True,True,True,False,True,False,True,True,False,True,True,True,True,True,False,False,True,True,True,False,False,True,True,True,True,False,True,False,True,True,True,False,True,False,False,True,True,False,True,True,False,True,True,False,False,True,True,False,False,True,False,True,True,True,False,True,False,True,True,True,True,True,True,False,True,True,True,True,True,True,True,True,True,False,True,False,True,False,True,True,True,True,True,True,False,False,True]</t>
  </si>
  <si>
    <t>[True,True,True,True,True,True,False,True,False,False,True,False,True,False,True,True,True,True,False,True,False,True,True,True,True,True,True,True,True,True,True,True,False,True,True,False,True,True,False,True,False,False,True,False,True,True,True,True,True,True,True,True,False,True,True,False,True,True,True,True,False,True,True,True,False,True,True,False,True,False,True,True,False,True,True,True,True,True,True,False,True,True,True,False,True,True,True,False,True,True,True,True,False,False,False,True,True,True,True,False,False,True,True,True,True,True,True,True,True,True,True,True,True,True,True,False,True,True,True,True,False,True,False,False,False,True,True,True,False,True,False,False,True,True,False,False,False,True,False,True,False,True,False,False,False,False,True,True,False,False,True,True,False,True,False,True,True,True,False,False,True,True,True,True,True,False,True,False,True,True,True,False,False,False,True,False,True,True,True,True,True,True,True,False,True,True,True,True,True,True,True,True,True,True,True,False,False]</t>
  </si>
  <si>
    <t>[False,False,True,False,True,True,False,True,False,True,True,True,True,True,True,False,True,True,False,True,False,True,True,False,True,False,True,True,False,True,True,False,True,True,True,True,True,True,True,False,True,False,False,True,True,False,True,True,False,False,True,False,False,False,False,True,False,True,False,True,False,True,True,True,False,True,False,True,True,False,False,True,True,False,True,False,True,False,False,False,False,True,False,True,True,False,True,False,False,True,True,False,False,False,True,False,True,True,False,True,True,True,False,True,True,True,True,False,True,False,True,False,True,False,False,False,False,False,True,True,False,True,True,True,True,False,False,True,True,False,False,True,True,False,True,True,False,False,True,False,True,False,True,True,True,False,True,True,True,True,False,False,False,True,True,True,False,False,True,True,True,False,True,False,True,False,True,False,False,False,False,False,True,True,True,False,True,True,True,False,True,False,False,True,True,True,False,False,False,False,True,True,True,False,True,False]</t>
  </si>
  <si>
    <t>[True,True,False,True,False,True,True,True,False,True,True,True,True,False,True,True,True,True,True,True,True,True,False,True,True,False,True,False,False,True,True,False,True,False,True,True,True,False,True,False,True,True,True,True,True,True,True,False,True,True,True,False,True,True,False,True,True,False,True,True,False,True,True,True,True,True,True,True,True,True,True,True,True,True,False,False,True,True,False,False,True,True,True,True,True,True,False,False,False,True,False,False,True,False,False,False,True,True,False,True,True,True,True,True,True,False,True,True,True,True,True,True,True,True,True,True,True,False,True,True,False,True,False,True,True,True,True,True,True,False,True,True,True,True,True,True,True,True,True,True,False,True,True,True,True,True,True,False,True,True,True,True,True,True,True,True,True,True,True,True,True,True,True,False,True,False,True,False,True,False,True,True,True,True,True,False,True,True,True,True,True,True,True,True,True,True,True,True,True,True,True,False,False,False,False,True,False,True,True,True]</t>
  </si>
  <si>
    <t>[False,True,False,False,True,False,False,True,True,True,True,False,True,True,False,False,False,True,True,True,True,True,False,False,True,True,False,False,False,True,True,False,False,True,True,True,False,False,False,False,False,False,True,True,True,True,True,False,False,True,False,True,True,True,False,False,True,True,True,False,True,True,False,False,False,False,False,False,True,False,False,False,False,True,True,False,True,True,True,False,True,True,True,True,False,False,True,False,True,False,False,True,True,False,True,True,False,False,False,False,False,True,False,False,True,True,True,True,True,True,True,False,True,True,False,False,False,False,False,False,False,False,False,True,True,False,False,True,True,True,True,True,True,False,False,False,False,True,False,True,False,False,False,True,False,False,True,False,False,True,True,True,True,False,False,True,False,True,False,True,False,True,True,True,True,True,True,True,False,False,False,False,True,True,True,True,False,False,False,True,False,False,True,True,True,False,True,False,True,True,True,False,False,True,True,False,False,False,False,False]</t>
  </si>
  <si>
    <t>[False,False,False,True,False,True,False,False,True,True,False,True,True,False,False,True,False,False,False,True,True,False,True,True,False,False,True,False,True,False,False,True,False,False,True,False,True,False,False,True,False,False,True,False,False,True,True,False,False,False,True,True,False,False,False,False,False,True,False,True,False,False,False,True,True,False,False,True,True,False,False,True,False,False,False,True,True,True,True,True,True,False,True,False,False,True,False,False,True,True,True,False,False,False,True,False,False,False,True,False,False,False,True,True,True,True,False,False,True,False,False,True,False,True,False,False,True,False,False,False,True,False,True,True,True,False,True,False,True,False,False,False,False,False,False,True,False,True,False,True,False,False,False,False,True,False,False,True,False,False,True,True,True,False,False,False,True,True,True,True,False,False,True,False,True,True,False,False,True,True,False,True,False,True,True,False,True,False,True,False,True,False,False,True,True,False,True,False,True,False,True,True,False,False,True,True,False,False,True,False]</t>
  </si>
  <si>
    <t>[True,False,False,False,False,True,True,True,False,False,False,True,False,False,False,False,False,False,True,True,True,False,False,False,False,False,True,True,False,False,True,False,False,False,True,False,False,False,True,True,False,False,False,True,False,False,True,True,False,True,True,True,False,True,False,False,True,False,True,True,True,False,False,False,False,False,True,True,False,False,True,False,True,False,False,False,False,False,False,False,False,True,True,True,False,False,False,False,True,True,True,False,True,True,False,True,True,True,True,False,False,False,False,False,False,False,True,False,True,True,False,False,True,True,True,False,False,False,False,True,False,False,True,True,False,True,True,False,False,False,True,False,False,False,True,True,True,False,False,False,False,True,True,True,False,False,False,False,False,True,False,True,False,True,True,False,True,True,False,True,True,True,True,False,False,True,True,False,True,True,False,False,False,True,True,True,False,True,True,False,False,True,False,False,False,False,True,False,True,False,True,True,True,False,True,False,False,False,False,False]</t>
  </si>
  <si>
    <t>[False,False,True,False,False,True,False,False,False,False,False,False,False,False,False,True,False,False,False,False,False,False,False,True,False,False,False,False,False,False,False,False,False,False,False,False,True,False,False,False,False,False,False,False,False,True,False,False,False,True,False,False,False,True,False,True,True,False,True,False,False,False,False,False,False,True,False,False,True,False,False,False,False,False,False,True,True,False,True,False,False,False,True,False,False,True,False,False,False,True,False,False,False,True,False,False,False,True,False,False,False,False,False,False,True,False,False,False,False,False,False,False,False,False,False,True,True,False,False,False,False,False,False,False,False,True,False,True,True,False,False,False,True,False,False,False,False,False,False,True,False,False,False,False,False,False,True,False,False,False,False,False,False,False,False,False,False,True,True,False,False,False,True,False,False,False,False,False,False,False,True,False,True,False,True,False,True,False,True,False,False,False,False,False,False,True,False,True,False,False,True,True,True,False,False,True,False,False,False]</t>
  </si>
  <si>
    <t>[False,False,False,False,False,False,False,False,False,False,False,False,False,False,False,True,False,False,False,False,False,False,False,False,False,False,False,False,False,True,True,True,False,False,False,False,False,True,False,False,False,False,False,False,False,False,False,False,False,False,False,False,False,False,False,False,False,False,False,False,True,False,False,False,False,True,False,True,False,False,True,False,False,False,False,False,False,False,True,False,False,False,False,False,False,False,True,False,False,True,False,False,False,False,False,False,False,False,False,False,False,True,False,False,False,False,False,False,False,False,False,False,False,False,False,False,False,False,Tru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True,False,False,False,True,False,False,False,False,False,True,False,False,False,False,False,True,False,True,False,False,False,False,False,False]</t>
  </si>
  <si>
    <t>[False,False,Tru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True,False,False,False,False,False,False,False,False,False,False,False,True,False,True,False,False,False,False,False,False,False,False,False,False,False,False,False,False,False,False,False,False,False,False,False,True,False,False,False,False,False,False,False,True,False,False,False,False,False,False,False,False,True,False,False,False,False,False,True,False,False,False,False,False,False,False,False,False,False,False,True,False,False,False,False,False,True,False,False,False,False,False,False,False,False,False,False,False,False,True,False,False,False,True,False,False,False,False,False,False,False,False,True,False,False,False,False,False,False,False,False,False,False,True,False,False,False,False,False,False,False,False,False,False,False,False,False,False,False,False,False,False]</t>
  </si>
  <si>
    <t>[False,False,False,False,False,False,False,False,False,False,False,False,False,False,False,Fals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True,False,False,False,False,False,False,Tru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,False]</t>
  </si>
  <si>
    <t>[True,True,False,True,True,False,True,False,False,False,False,False,True,False,False,True,False,False,True,False,False,False,True,False,False,False,False,False,True,True,True,False,False,True,False,False,True,True,False,False,True,False,True,True,False,True,True,False,True,True,False,True,False,False,False,True,False,True,True,True,True,True,True,True,True,False,False,False,True,False,False,True,True,False,True,True,False,True,False,True,False,False,False,True,False,False,True,True,True,True,True,False,False,False,True,False,False,False,True,True,True,True,False,False,False,False,True,False,False,False,False,False,True,False,True,False,False,True,False,False,True,False,True,False,True,True,True,False,True,True,False,False,False,False,True,True,True,False,True,False,True,True,True,False,True,True,True,True,False,False,True,True,True,True,True,False,False,False,False,True,False,False,False,False,True,True,False,True,True,False,False,False,False,True,True,False,True,False,False,False,False,False,False,True,False,True,True,False,False,True,True,True,False,True,False,True,True,False,False,True]</t>
  </si>
  <si>
    <t>[True,True,True,True,True,True,False,False,True,True,False,True,False,True,False,False,True,True,False,False,False,True,True,False,True,False,True,True,False,False,False,False,False,True,True,True,True,True,False,False,True,False,True,False,True,True,True,False,True,True,True,False,True,True,False,False,False,True,False,True,False,False,False,False,True,True,True,True,True,True,True,True,True,False,True,True,False,True,True,True,False,True,True,True,False,True,True,True,True,True,True,False,False,True,False,False,True,True,True,False,False,False,True,True,False,True,True,True,True,False,True,True,True,False,True,False,True,False,True,True,True,False,True,True,True,True,True,False,False,True,False,True,True,False,True,True,True,True,False,True,False,True,False,True,True,True,True,False,True,True,True,False,True,False,False,False,True,True,True,True,True,True,True,True,False,True,False,False,True,True,True,False,True,True,True,True,False,True,True,True,True,False,True,True,True,True,True,False,False,True,False,True,False,True,False,False,False,False,False,True]</t>
  </si>
  <si>
    <t>[True,False,True,False,False,False,False,False,True,True,True,True,True,False,True,False,False,False,True,True,True,True,True,True,True,False,True,True,False,False,True,False,True,False,True,False,False,False,True,True,True,True,True,True,True,True,True,True,True,False,False,False,False,False,False,False,True,False,False,False,True,False,False,False,True,False,True,False,True,True,True,True,True,False,True,False,True,False,True,True,True,True,False,True,True,True,True,False,False,True,True,False,False,True,True,True,True,True,False,False,True,False,True,False,False,False,True,False,True,True,True,True,False,True,True,True,False,True,True,True,False,True,True,False,False,False,True,False,False,False,True,True,True,True,True,False,True,True,False,False,True,True,True,False,False,True,False,True,True,True,True,True,True,False,True,True,False,True,False,True,True,True,True,True,True,False,False,False,True,True,True,True,False,True,True,True,True,False,True,True,False,True,True,False,False,True,False,False,True,False,False,True,True,True,True,False,True,False,True,True]</t>
  </si>
  <si>
    <t>[False,False,False,False,True,False,False,True,True,True,False,False,True,True,False,False,False,False,True,False,True,False,False,False,False,False,True,False,True,False,True,True,False,False,True,False,True,False,True,False,False,False,True,False,False,False,False,False,True,True,False,False,False,True,False,True,True,False,True,False,True,True,False,True,True,True,False,False,True,True,False,False,True,True,False,True,False,True,False,False,False,True,True,False,False,False,False,False,True,True,True,False,False,False,False,False,False,False,False,True,False,False,False,True,False,True,True,False,False,False,False,True,False,False,False,True,True,False,False,True,True,False,False,False,False,False,False,False,False,False,False,False,False,False,False,True,False,False,True,False,False,False,False,False,False,False,False,True,True,False,True,True,False,True,False,False,False,True,False,False,False,False,False,False,False,True,True,True,False,False,False,False,False,False,True,False,False,False,True,False,False,False,False,False,True,False,True,True,True,True,True,False,False,False,False,False,False,True,True]</t>
  </si>
  <si>
    <t>[True,False,True,False,True,True,False,False,False,True,False,True,False,True,False,False,False,False,False,False,True,True,False,False,True,False,True,False,True,False,True,True,False,False,True,False,True,True,False,True,False,False,False,False,False,False,True,True,False,True,False,True,True,False,False,True,True,True,False,True,True,True,True,True,True,False,True,True,True,False,False,False,True,False,True,True,False,True,False,True,False,True,True,False,True,False,False,True,True,False,True,False,True,False,False,True,False,False,True,True,True,False,True,False,False,False,True,True,True,False,True,False,True,False,False,False,False,True,False,True,True,True,True,False,True,True,True,False,True,False,False,True,True,False,False,True,True,True,True,True,True,False,False,True,True,False,True,True,True,True,False,True,True,True,False,False,False,False,True,True,True,False,False,True,True,False,False,False,False,False,False,False,False,False,False,False,False,False,False,True,False,True,True,False,False,False,False,True,False,True,False,True,False,False,False,False,False,False,True,False,True,True,True,False,False,False,True,False,False,False,True,True,True,True,False,False,False,True,True,True,False,False,False,False,True,True,True,True,False,False,False,True,False,False,True,False,False,False,False,False,False,False,True,False,False,True,False,False,False,True,False,True,False,True,False,True,True,True,True,False,False,False,False,False,False,False,True,False,False,True,True,False,False,False,True,True,False,True,False,False,False,False,False,False,False,False,False,False,True,False,False,True,True,True,False,False,True,False,False,False,False,True,True,False,False,False,False,False,True,True,True,True,False,True,False,False,True,False,False,False,False,True,True,True,False,True,True,True,True,False,False,False,False,False,True,True,False,True,False,False,False,False,False,False,False,True,False,True,True,True,False,True,True,True,True,True,False,True,False,True,True,True,True,False,False,True,False,False,False,True,False,False,True,True,True,True,False,False,False,True,False,True,False,False,False,True,False,True,True,True,True,True,False,False,True,True,False,False,True,False,False,False,True,False,False,False,False,False,True,False,False,False,False,False,False,True,False,False,True,False,False,False,False,True,True,True,False,True,True,True,False,False,False,False,False,True,True,True,True,False,True,False,True,True,False,False,False,True,True,False,True,False,True,False,False,False,True,False,False,True,False,True,True,True,True,False,False,False,True,True,False,False,True,False,False,True,True,True,True,False,True,False,False,False,True,False,False,False,False,True,False,True,True,True,True,False,True,False,True,False,True,True,False,True,True,False,False,False,False,False,True,False,False,False,True,True,True,True,False,True,True,False,False,False,False,True,False,True,True,True,True,False,False,False,False,False,False,False,False,True,False,False,False,False,False,False,True,False,True,False,True,False,True,False,False,False,False,False,True,False,True,False,False,False,False,True,True,True,False,False,True,True,True,True,False,False,True,True,False,True,True,True,True,True,False,True,True,False,False,True,False,True,False,False,True,True,False,True,True,False,False,True,False,False,False,True,True,False,False,False,True,False,True,False,True,False,False,True,True,True,False,True,True,True,True,False,False,False,True,False,True,True,False,True,True,False,False,True,True,False,True,True,True,False,True,False,False,True,False,True,False,True,True,True,False,False,True,False,False,False,False,True,True,False,False,False,False,True,False,True,False,True,False,True,True,True,True,True,False,True,True,False,False,True,False,False,False,True,False,False,True,False,False,False,True,True,True,True,True,False,True,False,True,True,True,False,True,True,False,False,False,True,False,False,False,True,True,True,True,False,False,True,False,False,False,True,False,True,False,True,False,False,False,False,False,False,True,True,False,True,True,False,True,False,True,False,False,True,False,True,True,True,False,False,True,False,False,False,False,False,True,True,False,True,True,False,False,True,False,False,False,False,False,True,False,True,False,False,False,False,False,False,True,False,True,True,False,False,False,True,True,False,True,False,True,False,True,True,False,True,False,True,True,False,False,True,False,True,True,False,False,False,False,True,False,True,False,False,True,True,True,True,False,False,True,False,True,False,True,False,False,False,False,True,True,True,False,True,True,True,True,True,False,False,False,False,False,True,False,True,False,False,True,False,False,False,True,False,False,False,False,True,True,True,True,False,True,False,False,False,True,False,False,False,True,True,True,False,False,True,True,False,True,False,True,False,False,False,False,True,False,False,True,True,False,False,True,False,False,True,True,False,True,True,True,True,False,True,False,False,False,False,False,True,False,False,True,False,False,True,True,False,False,True,False,False,False,True,False,True,False,False,False,False,True,False,False,True,False,True,True,True,True,False,False,True,False,False,False,True,False,False,False,False,False,False,True,False,False,False,False,False,True,False,True,True,True,True,True,True,True,False,False,False,True,True,False,False,True,False,False,False,True,False,False,False,False,False,False,True,False,False,True,False,True,True,False,True,False,False,True,False,False,False,False,False,False,False,False,False,False,False,False,False,True,True,False,False,False,False,True,True,True,True,True,True,False,False,False,False,True,False,False,True,False,False,True,True,True,False,True,True,False,True,True,False,False,True,False,True,False,False,False,False,True,False,False,False,True,True,True,True,True,True,False,True,True,True,False,False,True,False,False,False,False,False,False,False,False,True,False,True,False,True,False,False,False,False,True,True,False,False,False,False,False,False,True,True,False,False,True,True,False,True,True,False,True,False,True,False,False,False,False,False,False,True,False,False,False,True,False,True,False,False,False,True,False,False,False,True,False,False,True,True,False,True,True,True,True,True,True,True,False,True,True,True,False,False,False,False,False,False,True,False,False,True,True,False,False,False,False,False,False,True,False,False,False,True,False,False,True,False,True,False,False,False,True,True,True,False,False,True,False,False,True,True,True,False,False,True,False,False,True,True,False,True,False,False,True,True,False,True,False,False,True,False,False,False,False,False,False,True,True,False,True,False,True,False,False,True,False,False,False,False,True,False,True,False,False,False,False,False,False,False,True,False,True,False,False,True,True,True,True,True,True,False,True,False,True,True,True,False,True,True,False,True,False,False,True,True,True,False,False,True,True,False,False,True,False,False,False,True,True,False,True,False,True,False,True,True,False,True,True,False,False,False,True,False,False,True,True,True,True,True,False,True,False,True,True,False,False,False,False,False,False,False,True,True,False,False,True,False,False,True,False,False,True,False,False,True,False,False,False,False,False,False,False,True,False,True,True,False,True,True,False,False,False,False,False,True,False,False,True,True,False,False,False,False,False,True,False,False,True,True,True,False,True,False,True,False,True,True,False,True,False,False,True,False,False,False,True,False,False,True,True,True,False,True,True,False,False,False,True,False,False,False,True,False,False,True,True,False,True,False,True,False,True,False,True,False,False,True,False,False,True,False,True,True,False,False,True,True,False,False,True,False,False,True,False,False,False,True,True,True,False,True,True,False,False,False,False,False,True,True,True,True,False,False,False,True,False,False,False,False,True,False,True,True,False,True,True,True,False,False,True,True,False,True,True,False,True,True,True,False,False,True,True,True,False,True,True,True,False,True,True,True,True,False,False,False,False,False,False,False,False,True,False,True,False,False,False,False,True,False,True,True,False,True,False,False,False,True,False,False,True,True,False,False,True,False,False,False,False,True,True,False,True,False,False,False,True,True,False,True,True,False,False,True,False,False,False,True,False,True,True,False,True,False,True,True,False,True,True,False,False,True,True,True,False,True,False,False,True,False,True,False,False,False,True,True,False,False,True,True,True,False,True,True,False,True,False,False,True,True,False,False,True,False,False,True,False,True,False,True,False,False,False,False,False,False,False,True,False,False,True,False,True,True,True,True,False,False,True,False,False,True,False,True,True,False,False,False,True,True,True,False,True,True,False,False,False,False,False,False,False,True,False,False,False,True,True,False,False,False,True,False,True,False,False,False,False,True,True,False,False,False,False,True,False,False,True,False,True,True,True,False,True,False,False,False,False,False,True,False,True,False,True,True,True,True,True,True,True,False,False,False,False,True,False,True,True,False,False,True,False,False,True,False,True,False,False,False,False,False,False,False,False,True,False,False,True,True,False,True,False,True,True,True,False,False,True,True,True,False,True,True,False,False,True,False,False,False,True,False,True,False,False,True,False,True,False,False,True,True,False,True,True,False,False,False,True,True,True,False,False,False,True,False,True,True,True,True,True,True,True,True,True,False,True,False,False,False,True,False,False,True,True,False,False,False,False,True,True,False,True,False,True,True,False,False,False,False,False,False,False,True,True,False,False,True,False,True,True,True,False,True,False,True,False,False,True,True,False,True,False,True,False,False,False,False,False,False,True,False,False,False,True,False,True,False,False,True,False,False,False,False,False,False,False,True,False,True,True,False,True,False,False,True,False,True,True,False,True,True,False,True,True,True,True,True,True,False,False,False,True,True,True,True,False,False,False,False,True,False,True,True,False,False,False,True,False,False,True,False,True,True,False,True,False,True,True,True,True,True,False,True,True,True,True,False,True,False,False,True,True,False,False,False,True,True,True,False,False,True,True,False,True,False,True,True,False,True,False,False,True,False,True,True,False,True,True,False,False,False,True,True,False,True,True,False,True,True,True,True,False,False,False,False,True,False,False,False,False,True,False,True,True,False,False,True,True,False,False,False,False,False,False,True,True,True,True,True,False,False,True,False,False,True,False,True,True,False,False,True,True,True,False,False,True,True,False,True,False,False,False,True,False,True,False,False,False,False,True,False,True,False,True,True,True,False,True,False,False,True,True,False,True,False,False,True,False,False,False,False,True,False,True,True,False,True,True,False,True,False,True,True,False,True,True,False,True,True,False,False,True,False,True,False,True,False,False,False,False,False,False,False,False,False,False,False,True,True,True,True,True,True,False,True,False,False,True,False,True,True,False,False,False,False,False,True,False,False,True,True,False,True,True,False,False,True,True,False,True,True,False,False,True,False,False,True,False,False,False,False,False,True,True,False,True,False,False,True,True,False,False,False,True,False,False,True,False,False,True,False,True,True,False,True,True,True,False,False,False,True,True,False,True,False,False,False,False,True,True,False,True,False,False,True,True,False,True,True,False,False,True,False,False,False,False,False,True,False,False,False,True,True,True,False,False,True,False,False,True,True,True,True,False,True,False,True,False,False,False,False,False,False,True,False,False,False,True,True,True,True,False,True,False,True,False,False,True,True,False,True,False,False,True,False,False,True,False,False,False,True,False,True,True,False,True,True,True,False,False,True,False,False,True,True,True,False,True,False,True,True,True,True,False,True,True,False,True,False,True,False,True,True,False,False,False,True,False,False,True,False,False,False,True,False,False,True,True,True,False,False,False,True,True,False,False,True,False,False,False,True,False,True,True,False,True,False,True,True,True,False,True,True,False,False,True,False,False,True,True,True,False,False,True,False,False,False,False,False,False,False,False,False,True,False,False,True,False,True,False,True,False,True,False,True,False,False,True,False,False,False,True,False,False,False,True,False,False,False,False,False,False,False,False,True,True,True,False,True,False,False,True,False,True,False,False,False,True,True,False,True,False,False,True,False,True,True,False,True,True,False,True,False,True,False,False,True,False,False,True,True,True,True,True,False,True,True,True,False,False,False,True,False,True,True,False,False,False,True,True,True,True,False,True,False,True,False,False,False,False,True,False,True,True,False,True,True,False,True,True,True,False,False,False,True,True,False,False,False,False,False,True,False,False,False,True,False,False,False,True,False,True,False,True,True,True,False,True,True,False,True,False,True,True,False,True,True,False,True,True,False,False,False,True,True,True,True,True,False,True,False,True,False,False,False,True,False,False,False,True,False,True,False,False,False,True,False,False,False,False,True,False,False,True,False,False,True,False,True,True,False,True,True,True,True,False,False,False,False,False,True,True,False,False,False,False,False,False,True,True,False,True,True,True,True,True,False,True,False,False,False,False,False,False,False,True,False,True,True,True,True,False,False,True,False,False,True,False,True,False,False,False,True,False,False,True,True,True,False,True,True,False,False,True,True,False,False,False,True,True,False,True,True,False,False,True,False,True,True,True,True,True,False,False,True,False,True,False,False,True,False,False,False,False,True,True,True,True,False,True,True,True,True,False,False,False,True,False,False,True,False,True,True,True,True,False,True,True,False,False,False,True,True,True,True,True,False,False,True,True,True,True,False,False,False,True,False,False,False,False,False,True,False,True,True,True,False,False,False,False,True,False,False,True,True,False,True,False,True,True,False,False,False,False,True,False,False,False,False,False,True,True,True,True,True,True,True,True,True,True,False,True,False,False,False,True,False,False,True,True,True,False,True,True,False,True,False,True,False,True,False,False,False,False,False,False,False,True,False,False,False,False,False,True,False,False,True,False,False,False,False,False,False,False,True,False,True,False,False,True,True,True,True,False,False,True,False,True,False,True,False,True,False,True,True,True,True,False,False,False,True,False,False,False,True,True,False,True,True,False,False,False,False,True,False,False,False,True,False,True,True,True,True,True,True,False,False,False,True,False,True,False,True,False,False,True,False,False,False,True,True,False,True,True,False,False,True,True,False,True,True,False,False,True,False,False,False,False,False,False,True,False,True,True,False,False,False,False,False,True,False,False,True,True,False,False,True,True,True,True,False,False,False,False,False,False,False,True,True,True,True,True,True,False,True,False,False,True,False,True,True,True,True,False,False,False,True,False,False,True,True,False,False,False,False,False,True,True,False,False,False,False,False,False,False,True,False,False,False,False,False,False,True,False,True,False,False,False,False,True,False,True,False,True,False,False,False,False,False,False,False,False,True,False,True,True,True,True,False,False,True,True,False,False,True,False,False,False,False,False,False,False,True,False,False,True,False,True,True,True,True,False,True,True,False,True,False,True,True,True,True,True,False,False,False,True,False,False,False,False,True,False,True,True,True,True,True,False,False,False,False,True,True,True,True,False,True,False,True,False,False,False,False,False,False,True,False,True,False,True,False,False,False,True,True,True,True,True,True,True,True,False,False,False,False,True,True,True,True,True,True,True,True,False,True,False,False,True,True,False,True,False,False,False,True,False,True,True,True,True,False,True,False,True,True,False,False,True,True,False,True,True,False,False,True,True,True,False,False,True,False,False,True,True,False,False,True,False,False,False,False,True,False,True,False,False,True,False,True,False,False,True,False,True,False,True,False,False,True,True,False,False,True,True,False,False,False,False,True,True,False,True,False,True,False,False,True,False,False,False,True,False,False,False,True,False,True,True,False,False,True,False,False,True,False,False,True,True,True,False,False,True,True,True,False,False,False,True,True,False,True,False,True,False,False,False,False,True,True,False,False,False,True,True,False,True,False,False,True,True,True,False,True,False,True,True,False,True,True,False,False,False,True,False,True,True,True,False,True,False,True,True,True,True,True,False,False,False,True,True,True,False,False,False,True,True,True,True,True,False,False,True,False,False,True,False,True,False,False,False,False,True,True,False,True,False,False,False,True,False,False,False,False,True,False,Fals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</si>
</sst>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b/>
      <color theme="1"/>
      <name val="Calibri"/>
      <scheme val="minor"/>
    </font>
    <font>
      <color rgb="FF000000"/>
      <name val="Menlo"/>
    </font>
    <font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/>
    </xf>
    <xf borderId="0" fillId="2" fontId="5" numFmtId="0" xfId="0" applyAlignment="1" applyFont="1">
      <alignment horizontal="left" readingOrder="0" shrinkToFit="0" wrapText="0"/>
    </xf>
    <xf borderId="0" fillId="2" fontId="3" numFmtId="0" xfId="0" applyAlignment="1" applyFont="1">
      <alignment horizontal="left" readingOrder="0" shrinkToFit="0" wrapText="1"/>
    </xf>
    <xf borderId="0" fillId="2" fontId="6" numFmtId="0" xfId="0" applyAlignment="1" applyFont="1">
      <alignment horizontal="left" readingOrder="0" shrinkToFit="0" wrapText="0"/>
    </xf>
    <xf borderId="0" fillId="0" fontId="7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43.71"/>
    <col customWidth="1" min="3" max="3" width="17.57"/>
    <col customWidth="1" min="4" max="5" width="19.0"/>
    <col customWidth="1" min="6" max="6" width="19.14"/>
    <col customWidth="1" min="7" max="7" width="19.29"/>
    <col customWidth="1" min="8" max="8" width="14.0"/>
    <col customWidth="1" min="9" max="27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4" t="s">
        <v>9</v>
      </c>
      <c r="C2" s="4" t="s">
        <v>10</v>
      </c>
      <c r="D2" s="3" t="s">
        <v>11</v>
      </c>
      <c r="E2" s="4">
        <f t="shared" ref="E2:E136" si="1">(LEN(D2)-LEN(SUBSTITUTE(D2,"True","")))/4</f>
        <v>22</v>
      </c>
      <c r="F2" s="4">
        <f t="shared" ref="F2:F136" si="2">LEN(D2)-LEN(SUBSTITUTE(D2,",",""))+1</f>
        <v>50</v>
      </c>
      <c r="G2" s="4">
        <f t="shared" ref="G2:G136" si="3"> E2 / F2</f>
        <v>0.44</v>
      </c>
      <c r="H2" s="4" t="s">
        <v>12</v>
      </c>
    </row>
    <row r="3">
      <c r="A3" s="3" t="s">
        <v>8</v>
      </c>
      <c r="B3" s="4" t="s">
        <v>9</v>
      </c>
      <c r="C3" s="4" t="s">
        <v>13</v>
      </c>
      <c r="D3" s="3" t="s">
        <v>14</v>
      </c>
      <c r="E3" s="4">
        <f t="shared" si="1"/>
        <v>10</v>
      </c>
      <c r="F3" s="4">
        <f t="shared" si="2"/>
        <v>50</v>
      </c>
      <c r="G3" s="4">
        <f t="shared" si="3"/>
        <v>0.2</v>
      </c>
      <c r="H3" s="4" t="s">
        <v>15</v>
      </c>
    </row>
    <row r="4">
      <c r="A4" s="3" t="s">
        <v>8</v>
      </c>
      <c r="B4" s="4" t="s">
        <v>9</v>
      </c>
      <c r="C4" s="4" t="s">
        <v>16</v>
      </c>
      <c r="D4" s="3" t="s">
        <v>17</v>
      </c>
      <c r="E4" s="4">
        <f t="shared" si="1"/>
        <v>41</v>
      </c>
      <c r="F4" s="4">
        <f t="shared" si="2"/>
        <v>50</v>
      </c>
      <c r="G4" s="4">
        <f t="shared" si="3"/>
        <v>0.82</v>
      </c>
      <c r="H4" s="4" t="s">
        <v>18</v>
      </c>
    </row>
    <row r="5">
      <c r="A5" s="3" t="s">
        <v>8</v>
      </c>
      <c r="B5" s="4" t="s">
        <v>19</v>
      </c>
      <c r="C5" s="4" t="s">
        <v>10</v>
      </c>
      <c r="D5" s="5" t="s">
        <v>20</v>
      </c>
      <c r="E5" s="4">
        <f t="shared" si="1"/>
        <v>6</v>
      </c>
      <c r="F5" s="4">
        <f t="shared" si="2"/>
        <v>50</v>
      </c>
      <c r="G5" s="4">
        <f t="shared" si="3"/>
        <v>0.12</v>
      </c>
      <c r="H5" s="4" t="s">
        <v>12</v>
      </c>
    </row>
    <row r="6">
      <c r="A6" s="3" t="s">
        <v>8</v>
      </c>
      <c r="B6" s="4" t="s">
        <v>19</v>
      </c>
      <c r="C6" s="4" t="s">
        <v>13</v>
      </c>
      <c r="D6" s="3" t="s">
        <v>21</v>
      </c>
      <c r="E6" s="4">
        <f t="shared" si="1"/>
        <v>7</v>
      </c>
      <c r="F6" s="4">
        <f t="shared" si="2"/>
        <v>50</v>
      </c>
      <c r="G6" s="4">
        <f t="shared" si="3"/>
        <v>0.14</v>
      </c>
      <c r="H6" s="4" t="s">
        <v>12</v>
      </c>
    </row>
    <row r="7">
      <c r="A7" s="3" t="s">
        <v>8</v>
      </c>
      <c r="B7" s="4" t="s">
        <v>19</v>
      </c>
      <c r="C7" s="4" t="s">
        <v>16</v>
      </c>
      <c r="D7" s="3" t="s">
        <v>22</v>
      </c>
      <c r="E7" s="4">
        <f t="shared" si="1"/>
        <v>17</v>
      </c>
      <c r="F7" s="4">
        <f t="shared" si="2"/>
        <v>50</v>
      </c>
      <c r="G7" s="4">
        <f t="shared" si="3"/>
        <v>0.34</v>
      </c>
      <c r="H7" s="4" t="s">
        <v>18</v>
      </c>
    </row>
    <row r="8">
      <c r="A8" s="3" t="s">
        <v>8</v>
      </c>
      <c r="B8" s="4" t="s">
        <v>23</v>
      </c>
      <c r="C8" s="4" t="s">
        <v>10</v>
      </c>
      <c r="D8" s="3" t="s">
        <v>24</v>
      </c>
      <c r="E8" s="4">
        <f t="shared" si="1"/>
        <v>42</v>
      </c>
      <c r="F8" s="4">
        <f t="shared" si="2"/>
        <v>50</v>
      </c>
      <c r="G8" s="4">
        <f t="shared" si="3"/>
        <v>0.84</v>
      </c>
      <c r="H8" s="4" t="s">
        <v>18</v>
      </c>
    </row>
    <row r="9">
      <c r="A9" s="3" t="s">
        <v>8</v>
      </c>
      <c r="B9" s="4" t="s">
        <v>23</v>
      </c>
      <c r="C9" s="4" t="s">
        <v>13</v>
      </c>
      <c r="D9" s="3" t="s">
        <v>25</v>
      </c>
      <c r="E9" s="4">
        <f t="shared" si="1"/>
        <v>28</v>
      </c>
      <c r="F9" s="4">
        <f t="shared" si="2"/>
        <v>50</v>
      </c>
      <c r="G9" s="4">
        <f t="shared" si="3"/>
        <v>0.56</v>
      </c>
      <c r="H9" s="4" t="s">
        <v>12</v>
      </c>
    </row>
    <row r="10">
      <c r="A10" s="3" t="s">
        <v>8</v>
      </c>
      <c r="B10" s="4" t="s">
        <v>23</v>
      </c>
      <c r="C10" s="4" t="s">
        <v>16</v>
      </c>
      <c r="D10" s="3" t="s">
        <v>26</v>
      </c>
      <c r="E10" s="4">
        <f t="shared" si="1"/>
        <v>44</v>
      </c>
      <c r="F10" s="4">
        <f t="shared" si="2"/>
        <v>50</v>
      </c>
      <c r="G10" s="4">
        <f t="shared" si="3"/>
        <v>0.88</v>
      </c>
      <c r="H10" s="4" t="s">
        <v>18</v>
      </c>
    </row>
    <row r="11">
      <c r="A11" s="3" t="s">
        <v>8</v>
      </c>
      <c r="B11" s="4" t="s">
        <v>27</v>
      </c>
      <c r="C11" s="4" t="s">
        <v>10</v>
      </c>
      <c r="D11" s="3" t="s">
        <v>28</v>
      </c>
      <c r="E11" s="4">
        <f t="shared" si="1"/>
        <v>70</v>
      </c>
      <c r="F11" s="4">
        <f t="shared" si="2"/>
        <v>150</v>
      </c>
      <c r="G11" s="4">
        <f t="shared" si="3"/>
        <v>0.4666666667</v>
      </c>
      <c r="H11" s="4" t="s">
        <v>12</v>
      </c>
    </row>
    <row r="12">
      <c r="A12" s="3" t="s">
        <v>8</v>
      </c>
      <c r="B12" s="4" t="s">
        <v>27</v>
      </c>
      <c r="C12" s="4" t="s">
        <v>13</v>
      </c>
      <c r="D12" s="3" t="s">
        <v>29</v>
      </c>
      <c r="E12" s="4">
        <f t="shared" si="1"/>
        <v>45</v>
      </c>
      <c r="F12" s="4">
        <f t="shared" si="2"/>
        <v>150</v>
      </c>
      <c r="G12" s="4">
        <f t="shared" si="3"/>
        <v>0.3</v>
      </c>
      <c r="H12" s="4" t="s">
        <v>15</v>
      </c>
    </row>
    <row r="13">
      <c r="A13" s="3" t="s">
        <v>8</v>
      </c>
      <c r="B13" s="4" t="s">
        <v>27</v>
      </c>
      <c r="C13" s="4" t="s">
        <v>16</v>
      </c>
      <c r="D13" s="3" t="s">
        <v>30</v>
      </c>
      <c r="E13" s="4">
        <f t="shared" si="1"/>
        <v>102</v>
      </c>
      <c r="F13" s="4">
        <f t="shared" si="2"/>
        <v>150</v>
      </c>
      <c r="G13" s="4">
        <f t="shared" si="3"/>
        <v>0.68</v>
      </c>
      <c r="H13" s="4" t="s">
        <v>18</v>
      </c>
    </row>
    <row r="14">
      <c r="A14" s="3" t="s">
        <v>31</v>
      </c>
      <c r="B14" s="3" t="s">
        <v>32</v>
      </c>
      <c r="C14" s="4" t="s">
        <v>10</v>
      </c>
      <c r="D14" s="3" t="s">
        <v>33</v>
      </c>
      <c r="E14" s="4">
        <f t="shared" si="1"/>
        <v>149</v>
      </c>
      <c r="F14" s="4">
        <f t="shared" si="2"/>
        <v>200</v>
      </c>
      <c r="G14" s="4">
        <f t="shared" si="3"/>
        <v>0.745</v>
      </c>
      <c r="H14" s="4" t="s">
        <v>18</v>
      </c>
    </row>
    <row r="15">
      <c r="A15" s="3" t="s">
        <v>31</v>
      </c>
      <c r="B15" s="3" t="s">
        <v>32</v>
      </c>
      <c r="C15" s="4" t="s">
        <v>13</v>
      </c>
      <c r="D15" s="3" t="s">
        <v>34</v>
      </c>
      <c r="E15" s="4">
        <f t="shared" si="1"/>
        <v>151</v>
      </c>
      <c r="F15" s="4">
        <f t="shared" si="2"/>
        <v>200</v>
      </c>
      <c r="G15" s="4">
        <f t="shared" si="3"/>
        <v>0.755</v>
      </c>
      <c r="H15" s="4" t="s">
        <v>18</v>
      </c>
    </row>
    <row r="16">
      <c r="A16" s="3" t="s">
        <v>31</v>
      </c>
      <c r="B16" s="3" t="s">
        <v>32</v>
      </c>
      <c r="C16" s="4" t="s">
        <v>16</v>
      </c>
      <c r="D16" s="3" t="s">
        <v>35</v>
      </c>
      <c r="E16" s="4">
        <f t="shared" si="1"/>
        <v>158</v>
      </c>
      <c r="F16" s="4">
        <f t="shared" si="2"/>
        <v>200</v>
      </c>
      <c r="G16" s="4">
        <f t="shared" si="3"/>
        <v>0.79</v>
      </c>
      <c r="H16" s="4" t="s">
        <v>18</v>
      </c>
    </row>
    <row r="17">
      <c r="A17" s="3" t="s">
        <v>31</v>
      </c>
      <c r="B17" s="3" t="s">
        <v>36</v>
      </c>
      <c r="C17" s="4" t="s">
        <v>10</v>
      </c>
      <c r="D17" s="3" t="s">
        <v>37</v>
      </c>
      <c r="E17" s="4">
        <f t="shared" si="1"/>
        <v>123</v>
      </c>
      <c r="F17" s="4">
        <f t="shared" si="2"/>
        <v>200</v>
      </c>
      <c r="G17" s="4">
        <f t="shared" si="3"/>
        <v>0.615</v>
      </c>
      <c r="H17" s="4" t="s">
        <v>12</v>
      </c>
    </row>
    <row r="18">
      <c r="A18" s="3" t="s">
        <v>31</v>
      </c>
      <c r="B18" s="3" t="s">
        <v>36</v>
      </c>
      <c r="C18" s="4" t="s">
        <v>13</v>
      </c>
      <c r="D18" s="3" t="s">
        <v>38</v>
      </c>
      <c r="E18" s="4">
        <f t="shared" si="1"/>
        <v>172</v>
      </c>
      <c r="F18" s="4">
        <f t="shared" si="2"/>
        <v>200</v>
      </c>
      <c r="G18" s="4">
        <f t="shared" si="3"/>
        <v>0.86</v>
      </c>
      <c r="H18" s="4" t="s">
        <v>18</v>
      </c>
    </row>
    <row r="19">
      <c r="A19" s="3" t="s">
        <v>31</v>
      </c>
      <c r="B19" s="3" t="s">
        <v>36</v>
      </c>
      <c r="C19" s="4" t="s">
        <v>16</v>
      </c>
      <c r="D19" s="3" t="s">
        <v>39</v>
      </c>
      <c r="E19" s="4">
        <f t="shared" si="1"/>
        <v>173</v>
      </c>
      <c r="F19" s="4">
        <f t="shared" si="2"/>
        <v>200</v>
      </c>
      <c r="G19" s="4">
        <f t="shared" si="3"/>
        <v>0.865</v>
      </c>
      <c r="H19" s="4" t="s">
        <v>18</v>
      </c>
    </row>
    <row r="20">
      <c r="A20" s="3" t="s">
        <v>31</v>
      </c>
      <c r="B20" s="3" t="s">
        <v>40</v>
      </c>
      <c r="C20" s="4" t="s">
        <v>10</v>
      </c>
      <c r="D20" s="3" t="s">
        <v>41</v>
      </c>
      <c r="E20" s="4">
        <f t="shared" si="1"/>
        <v>166</v>
      </c>
      <c r="F20" s="4">
        <f t="shared" si="2"/>
        <v>199</v>
      </c>
      <c r="G20" s="4">
        <f t="shared" si="3"/>
        <v>0.8341708543</v>
      </c>
      <c r="H20" s="4" t="s">
        <v>18</v>
      </c>
    </row>
    <row r="21" ht="15.75" customHeight="1">
      <c r="A21" s="3" t="s">
        <v>31</v>
      </c>
      <c r="B21" s="3" t="s">
        <v>40</v>
      </c>
      <c r="C21" s="4" t="s">
        <v>13</v>
      </c>
      <c r="D21" s="3" t="s">
        <v>42</v>
      </c>
      <c r="E21" s="4">
        <f t="shared" si="1"/>
        <v>166</v>
      </c>
      <c r="F21" s="4">
        <f t="shared" si="2"/>
        <v>200</v>
      </c>
      <c r="G21" s="4">
        <f t="shared" si="3"/>
        <v>0.83</v>
      </c>
      <c r="H21" s="4" t="s">
        <v>18</v>
      </c>
    </row>
    <row r="22" ht="15.75" customHeight="1">
      <c r="A22" s="3" t="s">
        <v>31</v>
      </c>
      <c r="B22" s="3" t="s">
        <v>40</v>
      </c>
      <c r="C22" s="4" t="s">
        <v>16</v>
      </c>
      <c r="D22" s="3" t="s">
        <v>43</v>
      </c>
      <c r="E22" s="4">
        <f t="shared" si="1"/>
        <v>167</v>
      </c>
      <c r="F22" s="4">
        <f t="shared" si="2"/>
        <v>185</v>
      </c>
      <c r="G22" s="4">
        <f t="shared" si="3"/>
        <v>0.9027027027</v>
      </c>
      <c r="H22" s="4" t="s">
        <v>18</v>
      </c>
    </row>
    <row r="23" ht="15.75" customHeight="1">
      <c r="A23" s="3" t="s">
        <v>31</v>
      </c>
      <c r="B23" s="3" t="s">
        <v>44</v>
      </c>
      <c r="C23" s="4" t="s">
        <v>10</v>
      </c>
      <c r="D23" s="3" t="s">
        <v>45</v>
      </c>
      <c r="E23" s="4">
        <f t="shared" si="1"/>
        <v>131</v>
      </c>
      <c r="F23" s="4">
        <f t="shared" si="2"/>
        <v>200</v>
      </c>
      <c r="G23" s="4">
        <f t="shared" si="3"/>
        <v>0.655</v>
      </c>
      <c r="H23" s="4" t="s">
        <v>12</v>
      </c>
    </row>
    <row r="24" ht="15.75" customHeight="1">
      <c r="A24" s="3" t="s">
        <v>31</v>
      </c>
      <c r="B24" s="3" t="s">
        <v>44</v>
      </c>
      <c r="C24" s="4" t="s">
        <v>13</v>
      </c>
      <c r="D24" s="3" t="s">
        <v>46</v>
      </c>
      <c r="E24" s="4">
        <f t="shared" si="1"/>
        <v>163</v>
      </c>
      <c r="F24" s="4">
        <f t="shared" si="2"/>
        <v>199</v>
      </c>
      <c r="G24" s="4">
        <f t="shared" si="3"/>
        <v>0.8190954774</v>
      </c>
      <c r="H24" s="4" t="s">
        <v>18</v>
      </c>
    </row>
    <row r="25" ht="15.75" customHeight="1">
      <c r="A25" s="3" t="s">
        <v>31</v>
      </c>
      <c r="B25" s="3" t="s">
        <v>44</v>
      </c>
      <c r="C25" s="4" t="s">
        <v>16</v>
      </c>
      <c r="D25" s="3" t="s">
        <v>47</v>
      </c>
      <c r="E25" s="4">
        <f t="shared" si="1"/>
        <v>174</v>
      </c>
      <c r="F25" s="4">
        <f t="shared" si="2"/>
        <v>200</v>
      </c>
      <c r="G25" s="4">
        <f t="shared" si="3"/>
        <v>0.87</v>
      </c>
      <c r="H25" s="4" t="s">
        <v>18</v>
      </c>
    </row>
    <row r="26" ht="15.75" customHeight="1">
      <c r="A26" s="3" t="s">
        <v>31</v>
      </c>
      <c r="B26" s="4" t="s">
        <v>48</v>
      </c>
      <c r="C26" s="4" t="s">
        <v>10</v>
      </c>
      <c r="D26" s="3" t="s">
        <v>49</v>
      </c>
      <c r="E26" s="4">
        <f t="shared" si="1"/>
        <v>109</v>
      </c>
      <c r="F26" s="4">
        <f t="shared" si="2"/>
        <v>200</v>
      </c>
      <c r="G26" s="4">
        <f t="shared" si="3"/>
        <v>0.545</v>
      </c>
      <c r="H26" s="4" t="s">
        <v>12</v>
      </c>
    </row>
    <row r="27" ht="15.75" customHeight="1">
      <c r="A27" s="3" t="s">
        <v>31</v>
      </c>
      <c r="B27" s="4" t="s">
        <v>48</v>
      </c>
      <c r="C27" s="4" t="s">
        <v>13</v>
      </c>
      <c r="D27" s="3" t="s">
        <v>50</v>
      </c>
      <c r="E27" s="4">
        <f t="shared" si="1"/>
        <v>164</v>
      </c>
      <c r="F27" s="4">
        <f t="shared" si="2"/>
        <v>200</v>
      </c>
      <c r="G27" s="4">
        <f t="shared" si="3"/>
        <v>0.82</v>
      </c>
      <c r="H27" s="4" t="s">
        <v>18</v>
      </c>
    </row>
    <row r="28" ht="15.75" customHeight="1">
      <c r="A28" s="3" t="s">
        <v>31</v>
      </c>
      <c r="B28" s="4" t="s">
        <v>48</v>
      </c>
      <c r="C28" s="4" t="s">
        <v>16</v>
      </c>
      <c r="D28" s="3" t="s">
        <v>51</v>
      </c>
      <c r="E28" s="4">
        <f t="shared" si="1"/>
        <v>170</v>
      </c>
      <c r="F28" s="4">
        <f t="shared" si="2"/>
        <v>200</v>
      </c>
      <c r="G28" s="4">
        <f t="shared" si="3"/>
        <v>0.85</v>
      </c>
      <c r="H28" s="4" t="s">
        <v>18</v>
      </c>
    </row>
    <row r="29" ht="15.75" customHeight="1">
      <c r="A29" s="3" t="s">
        <v>31</v>
      </c>
      <c r="B29" s="4" t="s">
        <v>52</v>
      </c>
      <c r="C29" s="4" t="s">
        <v>10</v>
      </c>
      <c r="D29" s="3" t="s">
        <v>53</v>
      </c>
      <c r="E29" s="4">
        <f t="shared" si="1"/>
        <v>189</v>
      </c>
      <c r="F29" s="4">
        <f t="shared" si="2"/>
        <v>200</v>
      </c>
      <c r="G29" s="4">
        <f t="shared" si="3"/>
        <v>0.945</v>
      </c>
      <c r="H29" s="4" t="s">
        <v>18</v>
      </c>
    </row>
    <row r="30" ht="15.75" customHeight="1">
      <c r="A30" s="3" t="s">
        <v>31</v>
      </c>
      <c r="B30" s="4" t="s">
        <v>52</v>
      </c>
      <c r="C30" s="4" t="s">
        <v>13</v>
      </c>
      <c r="D30" s="3" t="s">
        <v>54</v>
      </c>
      <c r="E30" s="4">
        <f t="shared" si="1"/>
        <v>175</v>
      </c>
      <c r="F30" s="4">
        <f t="shared" si="2"/>
        <v>199</v>
      </c>
      <c r="G30" s="4">
        <f t="shared" si="3"/>
        <v>0.8793969849</v>
      </c>
      <c r="H30" s="4" t="s">
        <v>18</v>
      </c>
    </row>
    <row r="31" ht="15.75" customHeight="1">
      <c r="A31" s="3" t="s">
        <v>31</v>
      </c>
      <c r="B31" s="4" t="s">
        <v>52</v>
      </c>
      <c r="C31" s="4" t="s">
        <v>16</v>
      </c>
      <c r="D31" s="3" t="s">
        <v>55</v>
      </c>
      <c r="E31" s="4">
        <f t="shared" si="1"/>
        <v>187</v>
      </c>
      <c r="F31" s="4">
        <f t="shared" si="2"/>
        <v>200</v>
      </c>
      <c r="G31" s="4">
        <f t="shared" si="3"/>
        <v>0.935</v>
      </c>
      <c r="H31" s="4" t="s">
        <v>18</v>
      </c>
    </row>
    <row r="32" ht="15.75" customHeight="1">
      <c r="A32" s="3" t="s">
        <v>31</v>
      </c>
      <c r="B32" s="4" t="s">
        <v>56</v>
      </c>
      <c r="C32" s="4" t="s">
        <v>10</v>
      </c>
      <c r="D32" s="3" t="s">
        <v>57</v>
      </c>
      <c r="E32" s="4">
        <f t="shared" si="1"/>
        <v>159</v>
      </c>
      <c r="F32" s="4">
        <f t="shared" si="2"/>
        <v>199</v>
      </c>
      <c r="G32" s="4">
        <f t="shared" si="3"/>
        <v>0.7989949749</v>
      </c>
      <c r="H32" s="4" t="s">
        <v>58</v>
      </c>
    </row>
    <row r="33" ht="15.75" customHeight="1">
      <c r="A33" s="3" t="s">
        <v>31</v>
      </c>
      <c r="B33" s="4" t="s">
        <v>56</v>
      </c>
      <c r="C33" s="4" t="s">
        <v>13</v>
      </c>
      <c r="D33" s="3" t="s">
        <v>59</v>
      </c>
      <c r="E33" s="4">
        <f t="shared" si="1"/>
        <v>151</v>
      </c>
      <c r="F33" s="4">
        <f t="shared" si="2"/>
        <v>200</v>
      </c>
      <c r="G33" s="4">
        <f t="shared" si="3"/>
        <v>0.755</v>
      </c>
      <c r="H33" s="4" t="s">
        <v>12</v>
      </c>
    </row>
    <row r="34" ht="15.75" customHeight="1">
      <c r="A34" s="3" t="s">
        <v>31</v>
      </c>
      <c r="B34" s="4" t="s">
        <v>56</v>
      </c>
      <c r="C34" s="4" t="s">
        <v>16</v>
      </c>
      <c r="D34" s="3" t="s">
        <v>60</v>
      </c>
      <c r="E34" s="4">
        <f t="shared" si="1"/>
        <v>178</v>
      </c>
      <c r="F34" s="4">
        <f t="shared" si="2"/>
        <v>200</v>
      </c>
      <c r="G34" s="4">
        <f t="shared" si="3"/>
        <v>0.89</v>
      </c>
      <c r="H34" s="4" t="s">
        <v>18</v>
      </c>
    </row>
    <row r="35" ht="15.75" customHeight="1">
      <c r="A35" s="3" t="s">
        <v>31</v>
      </c>
      <c r="B35" s="4" t="s">
        <v>61</v>
      </c>
      <c r="C35" s="4" t="s">
        <v>10</v>
      </c>
      <c r="D35" s="3" t="s">
        <v>62</v>
      </c>
      <c r="E35" s="4">
        <f t="shared" si="1"/>
        <v>100</v>
      </c>
      <c r="F35" s="4">
        <f t="shared" si="2"/>
        <v>200</v>
      </c>
      <c r="G35" s="4">
        <f t="shared" si="3"/>
        <v>0.5</v>
      </c>
      <c r="H35" s="4" t="s">
        <v>18</v>
      </c>
    </row>
    <row r="36" ht="15.75" customHeight="1">
      <c r="A36" s="3" t="s">
        <v>31</v>
      </c>
      <c r="B36" s="4" t="s">
        <v>61</v>
      </c>
      <c r="C36" s="4" t="s">
        <v>13</v>
      </c>
      <c r="D36" s="3" t="s">
        <v>63</v>
      </c>
      <c r="E36" s="4">
        <f t="shared" si="1"/>
        <v>104</v>
      </c>
      <c r="F36" s="4">
        <f t="shared" si="2"/>
        <v>200</v>
      </c>
      <c r="G36" s="4">
        <f t="shared" si="3"/>
        <v>0.52</v>
      </c>
      <c r="H36" s="4" t="s">
        <v>18</v>
      </c>
    </row>
    <row r="37" ht="15.75" customHeight="1">
      <c r="A37" s="3" t="s">
        <v>31</v>
      </c>
      <c r="B37" s="4" t="s">
        <v>61</v>
      </c>
      <c r="C37" s="4" t="s">
        <v>16</v>
      </c>
      <c r="D37" s="3" t="s">
        <v>64</v>
      </c>
      <c r="E37" s="4">
        <f t="shared" si="1"/>
        <v>108</v>
      </c>
      <c r="F37" s="4">
        <f t="shared" si="2"/>
        <v>200</v>
      </c>
      <c r="G37" s="4">
        <f t="shared" si="3"/>
        <v>0.54</v>
      </c>
      <c r="H37" s="4" t="s">
        <v>18</v>
      </c>
    </row>
    <row r="38" ht="15.75" customHeight="1">
      <c r="A38" s="3" t="s">
        <v>31</v>
      </c>
      <c r="B38" s="4" t="s">
        <v>65</v>
      </c>
      <c r="C38" s="4" t="s">
        <v>10</v>
      </c>
      <c r="D38" s="3" t="s">
        <v>66</v>
      </c>
      <c r="E38" s="4">
        <f t="shared" si="1"/>
        <v>145</v>
      </c>
      <c r="F38" s="4">
        <f t="shared" si="2"/>
        <v>200</v>
      </c>
      <c r="G38" s="4">
        <f t="shared" si="3"/>
        <v>0.725</v>
      </c>
      <c r="H38" s="4" t="s">
        <v>18</v>
      </c>
    </row>
    <row r="39" ht="15.75" customHeight="1">
      <c r="A39" s="3" t="s">
        <v>31</v>
      </c>
      <c r="B39" s="4" t="s">
        <v>65</v>
      </c>
      <c r="C39" s="4" t="s">
        <v>13</v>
      </c>
      <c r="D39" s="3" t="s">
        <v>67</v>
      </c>
      <c r="E39" s="4">
        <f t="shared" si="1"/>
        <v>115</v>
      </c>
      <c r="F39" s="4">
        <f t="shared" si="2"/>
        <v>200</v>
      </c>
      <c r="G39" s="4">
        <f t="shared" si="3"/>
        <v>0.575</v>
      </c>
      <c r="H39" s="4" t="s">
        <v>12</v>
      </c>
    </row>
    <row r="40" ht="15.75" customHeight="1">
      <c r="A40" s="3" t="s">
        <v>31</v>
      </c>
      <c r="B40" s="4" t="s">
        <v>65</v>
      </c>
      <c r="C40" s="4" t="s">
        <v>16</v>
      </c>
      <c r="D40" s="3" t="s">
        <v>68</v>
      </c>
      <c r="E40" s="4">
        <f t="shared" si="1"/>
        <v>140</v>
      </c>
      <c r="F40" s="4">
        <f t="shared" si="2"/>
        <v>200</v>
      </c>
      <c r="G40" s="4">
        <f t="shared" si="3"/>
        <v>0.7</v>
      </c>
      <c r="H40" s="4" t="s">
        <v>18</v>
      </c>
    </row>
    <row r="41" ht="15.75" customHeight="1">
      <c r="A41" s="3" t="s">
        <v>31</v>
      </c>
      <c r="B41" s="4" t="s">
        <v>19</v>
      </c>
      <c r="C41" s="4" t="s">
        <v>10</v>
      </c>
      <c r="D41" s="3" t="s">
        <v>69</v>
      </c>
      <c r="E41" s="4">
        <f t="shared" si="1"/>
        <v>32</v>
      </c>
      <c r="F41" s="4">
        <f t="shared" si="2"/>
        <v>199</v>
      </c>
      <c r="G41" s="4">
        <f t="shared" si="3"/>
        <v>0.1608040201</v>
      </c>
      <c r="H41" s="4" t="s">
        <v>18</v>
      </c>
    </row>
    <row r="42" ht="15.75" customHeight="1">
      <c r="A42" s="3" t="s">
        <v>31</v>
      </c>
      <c r="B42" s="4" t="s">
        <v>19</v>
      </c>
      <c r="C42" s="4" t="s">
        <v>13</v>
      </c>
      <c r="D42" s="3" t="s">
        <v>70</v>
      </c>
      <c r="E42" s="4">
        <f t="shared" si="1"/>
        <v>36</v>
      </c>
      <c r="F42" s="4">
        <f t="shared" si="2"/>
        <v>199</v>
      </c>
      <c r="G42" s="4">
        <f t="shared" si="3"/>
        <v>0.1809045226</v>
      </c>
      <c r="H42" s="4" t="s">
        <v>18</v>
      </c>
    </row>
    <row r="43" ht="15.75" customHeight="1">
      <c r="A43" s="3" t="s">
        <v>31</v>
      </c>
      <c r="B43" s="4" t="s">
        <v>19</v>
      </c>
      <c r="C43" s="4" t="s">
        <v>16</v>
      </c>
      <c r="D43" s="3" t="s">
        <v>71</v>
      </c>
      <c r="E43" s="4">
        <f t="shared" si="1"/>
        <v>55</v>
      </c>
      <c r="F43" s="4">
        <f t="shared" si="2"/>
        <v>200</v>
      </c>
      <c r="G43" s="4">
        <f t="shared" si="3"/>
        <v>0.275</v>
      </c>
      <c r="H43" s="4" t="s">
        <v>18</v>
      </c>
    </row>
    <row r="44" ht="15.75" customHeight="1">
      <c r="A44" s="3" t="s">
        <v>31</v>
      </c>
      <c r="B44" s="4" t="s">
        <v>72</v>
      </c>
      <c r="C44" s="4" t="s">
        <v>10</v>
      </c>
      <c r="D44" s="3" t="s">
        <v>73</v>
      </c>
      <c r="E44" s="4">
        <f t="shared" si="1"/>
        <v>39</v>
      </c>
      <c r="F44" s="4">
        <f t="shared" si="2"/>
        <v>200</v>
      </c>
      <c r="G44" s="4">
        <f t="shared" si="3"/>
        <v>0.195</v>
      </c>
      <c r="H44" s="4" t="s">
        <v>18</v>
      </c>
    </row>
    <row r="45" ht="15.75" customHeight="1">
      <c r="A45" s="3" t="s">
        <v>31</v>
      </c>
      <c r="B45" s="4" t="s">
        <v>72</v>
      </c>
      <c r="C45" s="4" t="s">
        <v>13</v>
      </c>
      <c r="D45" s="3" t="s">
        <v>74</v>
      </c>
      <c r="E45" s="4">
        <f t="shared" si="1"/>
        <v>10</v>
      </c>
      <c r="F45" s="4">
        <f t="shared" si="2"/>
        <v>200</v>
      </c>
      <c r="G45" s="4">
        <f t="shared" si="3"/>
        <v>0.05</v>
      </c>
      <c r="H45" s="4" t="s">
        <v>12</v>
      </c>
    </row>
    <row r="46" ht="15.75" customHeight="1">
      <c r="A46" s="3" t="s">
        <v>31</v>
      </c>
      <c r="B46" s="4" t="s">
        <v>72</v>
      </c>
      <c r="C46" s="4" t="s">
        <v>16</v>
      </c>
      <c r="D46" s="3" t="s">
        <v>75</v>
      </c>
      <c r="E46" s="4">
        <f t="shared" si="1"/>
        <v>33</v>
      </c>
      <c r="F46" s="4">
        <f t="shared" si="2"/>
        <v>200</v>
      </c>
      <c r="G46" s="4">
        <f t="shared" si="3"/>
        <v>0.165</v>
      </c>
      <c r="H46" s="4" t="s">
        <v>18</v>
      </c>
    </row>
    <row r="47" ht="15.75" customHeight="1">
      <c r="A47" s="3" t="s">
        <v>31</v>
      </c>
      <c r="B47" s="4" t="s">
        <v>9</v>
      </c>
      <c r="C47" s="4" t="s">
        <v>10</v>
      </c>
      <c r="D47" s="3" t="s">
        <v>76</v>
      </c>
      <c r="E47" s="4">
        <f t="shared" si="1"/>
        <v>27</v>
      </c>
      <c r="F47" s="4">
        <f t="shared" si="2"/>
        <v>200</v>
      </c>
      <c r="G47" s="4">
        <f t="shared" si="3"/>
        <v>0.135</v>
      </c>
      <c r="H47" s="4" t="s">
        <v>18</v>
      </c>
    </row>
    <row r="48" ht="15.75" customHeight="1">
      <c r="A48" s="3" t="s">
        <v>31</v>
      </c>
      <c r="B48" s="4" t="s">
        <v>9</v>
      </c>
      <c r="C48" s="4" t="s">
        <v>13</v>
      </c>
      <c r="D48" s="3" t="s">
        <v>77</v>
      </c>
      <c r="E48" s="4">
        <f t="shared" si="1"/>
        <v>4</v>
      </c>
      <c r="F48" s="4">
        <f t="shared" si="2"/>
        <v>200</v>
      </c>
      <c r="G48" s="4">
        <f t="shared" si="3"/>
        <v>0.02</v>
      </c>
      <c r="H48" s="4" t="s">
        <v>12</v>
      </c>
    </row>
    <row r="49" ht="15.75" customHeight="1">
      <c r="A49" s="3" t="s">
        <v>31</v>
      </c>
      <c r="B49" s="4" t="s">
        <v>9</v>
      </c>
      <c r="C49" s="4" t="s">
        <v>16</v>
      </c>
      <c r="D49" s="3" t="s">
        <v>78</v>
      </c>
      <c r="E49" s="4">
        <f t="shared" si="1"/>
        <v>18</v>
      </c>
      <c r="F49" s="4">
        <f t="shared" si="2"/>
        <v>200</v>
      </c>
      <c r="G49" s="4">
        <f t="shared" si="3"/>
        <v>0.09</v>
      </c>
      <c r="H49" s="4" t="s">
        <v>18</v>
      </c>
    </row>
    <row r="50" ht="15.75" customHeight="1">
      <c r="A50" s="3" t="s">
        <v>31</v>
      </c>
      <c r="B50" s="4" t="s">
        <v>79</v>
      </c>
      <c r="C50" s="4" t="s">
        <v>10</v>
      </c>
      <c r="D50" s="3" t="s">
        <v>80</v>
      </c>
      <c r="E50" s="4">
        <f t="shared" si="1"/>
        <v>107</v>
      </c>
      <c r="F50" s="4">
        <f t="shared" si="2"/>
        <v>200</v>
      </c>
      <c r="G50" s="4">
        <f t="shared" si="3"/>
        <v>0.535</v>
      </c>
      <c r="H50" s="4" t="s">
        <v>18</v>
      </c>
    </row>
    <row r="51" ht="15.75" customHeight="1">
      <c r="A51" s="3" t="s">
        <v>31</v>
      </c>
      <c r="B51" s="4" t="s">
        <v>79</v>
      </c>
      <c r="C51" s="4" t="s">
        <v>13</v>
      </c>
      <c r="D51" s="3" t="s">
        <v>81</v>
      </c>
      <c r="E51" s="4">
        <f t="shared" si="1"/>
        <v>119</v>
      </c>
      <c r="F51" s="4">
        <f t="shared" si="2"/>
        <v>200</v>
      </c>
      <c r="G51" s="4">
        <f t="shared" si="3"/>
        <v>0.595</v>
      </c>
      <c r="H51" s="4" t="s">
        <v>18</v>
      </c>
    </row>
    <row r="52" ht="15.75" customHeight="1">
      <c r="A52" s="3" t="s">
        <v>31</v>
      </c>
      <c r="B52" s="4" t="s">
        <v>79</v>
      </c>
      <c r="C52" s="4" t="s">
        <v>16</v>
      </c>
      <c r="D52" s="3" t="s">
        <v>82</v>
      </c>
      <c r="E52" s="4">
        <f t="shared" si="1"/>
        <v>124</v>
      </c>
      <c r="F52" s="4">
        <f t="shared" si="2"/>
        <v>200</v>
      </c>
      <c r="G52" s="4">
        <f t="shared" si="3"/>
        <v>0.62</v>
      </c>
      <c r="H52" s="4" t="s">
        <v>18</v>
      </c>
    </row>
    <row r="53" ht="15.75" customHeight="1">
      <c r="A53" s="3" t="s">
        <v>31</v>
      </c>
      <c r="B53" s="4" t="s">
        <v>83</v>
      </c>
      <c r="C53" s="4" t="s">
        <v>10</v>
      </c>
      <c r="D53" s="3" t="s">
        <v>84</v>
      </c>
      <c r="E53" s="4">
        <f t="shared" si="1"/>
        <v>156</v>
      </c>
      <c r="F53" s="4">
        <f t="shared" si="2"/>
        <v>200</v>
      </c>
      <c r="G53" s="4">
        <f t="shared" si="3"/>
        <v>0.78</v>
      </c>
      <c r="H53" s="4" t="s">
        <v>58</v>
      </c>
    </row>
    <row r="54" ht="15.75" customHeight="1">
      <c r="A54" s="3" t="s">
        <v>31</v>
      </c>
      <c r="B54" s="4" t="s">
        <v>83</v>
      </c>
      <c r="C54" s="4" t="s">
        <v>13</v>
      </c>
      <c r="D54" s="3" t="s">
        <v>85</v>
      </c>
      <c r="E54" s="4">
        <f t="shared" si="1"/>
        <v>147</v>
      </c>
      <c r="F54" s="4">
        <f t="shared" si="2"/>
        <v>200</v>
      </c>
      <c r="G54" s="4">
        <f t="shared" si="3"/>
        <v>0.735</v>
      </c>
      <c r="H54" s="4" t="s">
        <v>12</v>
      </c>
    </row>
    <row r="55" ht="15.75" customHeight="1">
      <c r="A55" s="3" t="s">
        <v>31</v>
      </c>
      <c r="B55" s="4" t="s">
        <v>83</v>
      </c>
      <c r="C55" s="4" t="s">
        <v>16</v>
      </c>
      <c r="D55" s="3" t="s">
        <v>86</v>
      </c>
      <c r="E55" s="4">
        <f t="shared" si="1"/>
        <v>169</v>
      </c>
      <c r="F55" s="4">
        <f t="shared" si="2"/>
        <v>200</v>
      </c>
      <c r="G55" s="4">
        <f t="shared" si="3"/>
        <v>0.845</v>
      </c>
      <c r="H55" s="4" t="s">
        <v>18</v>
      </c>
    </row>
    <row r="56" ht="15.75" customHeight="1">
      <c r="A56" s="3" t="s">
        <v>31</v>
      </c>
      <c r="B56" s="4" t="s">
        <v>87</v>
      </c>
      <c r="C56" s="4" t="s">
        <v>10</v>
      </c>
      <c r="D56" s="3" t="s">
        <v>88</v>
      </c>
      <c r="E56" s="4">
        <f t="shared" si="1"/>
        <v>137</v>
      </c>
      <c r="F56" s="4">
        <f t="shared" si="2"/>
        <v>200</v>
      </c>
      <c r="G56" s="4">
        <f t="shared" si="3"/>
        <v>0.685</v>
      </c>
      <c r="H56" s="4" t="s">
        <v>18</v>
      </c>
    </row>
    <row r="57" ht="15.75" customHeight="1">
      <c r="A57" s="3" t="s">
        <v>31</v>
      </c>
      <c r="B57" s="4" t="s">
        <v>87</v>
      </c>
      <c r="C57" s="4" t="s">
        <v>13</v>
      </c>
      <c r="D57" s="3" t="s">
        <v>89</v>
      </c>
      <c r="E57" s="4">
        <f t="shared" si="1"/>
        <v>141</v>
      </c>
      <c r="F57" s="4">
        <f t="shared" si="2"/>
        <v>200</v>
      </c>
      <c r="G57" s="4">
        <f t="shared" si="3"/>
        <v>0.705</v>
      </c>
      <c r="H57" s="4" t="s">
        <v>18</v>
      </c>
    </row>
    <row r="58" ht="15.75" customHeight="1">
      <c r="A58" s="3" t="s">
        <v>31</v>
      </c>
      <c r="B58" s="4" t="s">
        <v>87</v>
      </c>
      <c r="C58" s="4" t="s">
        <v>16</v>
      </c>
      <c r="D58" s="3" t="s">
        <v>90</v>
      </c>
      <c r="E58" s="4">
        <f t="shared" si="1"/>
        <v>67</v>
      </c>
      <c r="F58" s="4">
        <f t="shared" si="2"/>
        <v>200</v>
      </c>
      <c r="G58" s="4">
        <f t="shared" si="3"/>
        <v>0.335</v>
      </c>
      <c r="H58" s="4" t="s">
        <v>12</v>
      </c>
    </row>
    <row r="59" ht="15.75" customHeight="1">
      <c r="A59" s="3" t="s">
        <v>31</v>
      </c>
      <c r="B59" s="4" t="s">
        <v>23</v>
      </c>
      <c r="C59" s="4" t="s">
        <v>10</v>
      </c>
      <c r="D59" s="3" t="s">
        <v>91</v>
      </c>
      <c r="E59" s="4">
        <f t="shared" si="1"/>
        <v>75</v>
      </c>
      <c r="F59" s="4">
        <f t="shared" si="2"/>
        <v>200</v>
      </c>
      <c r="G59" s="4">
        <f t="shared" si="3"/>
        <v>0.375</v>
      </c>
      <c r="H59" s="4" t="s">
        <v>18</v>
      </c>
    </row>
    <row r="60" ht="15.75" customHeight="1">
      <c r="A60" s="3" t="s">
        <v>31</v>
      </c>
      <c r="B60" s="4" t="s">
        <v>23</v>
      </c>
      <c r="C60" s="4" t="s">
        <v>13</v>
      </c>
      <c r="D60" s="3" t="s">
        <v>92</v>
      </c>
      <c r="E60" s="4">
        <f t="shared" si="1"/>
        <v>97</v>
      </c>
      <c r="F60" s="4">
        <f t="shared" si="2"/>
        <v>200</v>
      </c>
      <c r="G60" s="4">
        <f t="shared" si="3"/>
        <v>0.485</v>
      </c>
      <c r="H60" s="4" t="s">
        <v>18</v>
      </c>
    </row>
    <row r="61" ht="15.75" customHeight="1">
      <c r="A61" s="3" t="s">
        <v>31</v>
      </c>
      <c r="B61" s="4" t="s">
        <v>23</v>
      </c>
      <c r="C61" s="4" t="s">
        <v>16</v>
      </c>
      <c r="D61" s="3" t="s">
        <v>93</v>
      </c>
      <c r="E61" s="4">
        <f t="shared" si="1"/>
        <v>93</v>
      </c>
      <c r="F61" s="4">
        <f t="shared" si="2"/>
        <v>200</v>
      </c>
      <c r="G61" s="4">
        <f t="shared" si="3"/>
        <v>0.465</v>
      </c>
      <c r="H61" s="4" t="s">
        <v>18</v>
      </c>
    </row>
    <row r="62" ht="15.75" customHeight="1">
      <c r="A62" s="3" t="s">
        <v>31</v>
      </c>
      <c r="B62" s="4" t="s">
        <v>94</v>
      </c>
      <c r="C62" s="4" t="s">
        <v>10</v>
      </c>
      <c r="D62" s="3" t="s">
        <v>95</v>
      </c>
      <c r="E62" s="4">
        <f t="shared" si="1"/>
        <v>1844</v>
      </c>
      <c r="F62" s="4">
        <f t="shared" si="2"/>
        <v>3197</v>
      </c>
      <c r="G62" s="4">
        <f t="shared" si="3"/>
        <v>0.5767907413</v>
      </c>
      <c r="H62" s="4" t="s">
        <v>12</v>
      </c>
    </row>
    <row r="63" ht="15.75" customHeight="1">
      <c r="A63" s="3" t="s">
        <v>31</v>
      </c>
      <c r="B63" s="4" t="s">
        <v>94</v>
      </c>
      <c r="C63" s="4" t="s">
        <v>13</v>
      </c>
      <c r="D63" s="3" t="s">
        <v>96</v>
      </c>
      <c r="E63" s="4">
        <f t="shared" si="1"/>
        <v>1915</v>
      </c>
      <c r="F63" s="4">
        <f t="shared" si="2"/>
        <v>3197</v>
      </c>
      <c r="G63" s="4">
        <f t="shared" si="3"/>
        <v>0.5989990616</v>
      </c>
      <c r="H63" s="4" t="s">
        <v>12</v>
      </c>
    </row>
    <row r="64" ht="15.75" customHeight="1">
      <c r="A64" s="3" t="s">
        <v>31</v>
      </c>
      <c r="B64" s="4" t="s">
        <v>94</v>
      </c>
      <c r="C64" s="4" t="s">
        <v>16</v>
      </c>
      <c r="D64" s="3" t="s">
        <v>97</v>
      </c>
      <c r="E64" s="4">
        <f t="shared" si="1"/>
        <v>2014</v>
      </c>
      <c r="F64" s="4">
        <f t="shared" si="2"/>
        <v>3185</v>
      </c>
      <c r="G64" s="4">
        <f t="shared" si="3"/>
        <v>0.6323390895</v>
      </c>
      <c r="H64" s="4" t="s">
        <v>18</v>
      </c>
    </row>
    <row r="65" ht="15.75" customHeight="1">
      <c r="A65" s="3" t="s">
        <v>98</v>
      </c>
      <c r="B65" s="4" t="s">
        <v>9</v>
      </c>
      <c r="C65" s="4" t="s">
        <v>10</v>
      </c>
      <c r="D65" s="3" t="s">
        <v>99</v>
      </c>
      <c r="E65" s="4">
        <f t="shared" si="1"/>
        <v>5</v>
      </c>
      <c r="F65" s="4">
        <f t="shared" si="2"/>
        <v>50</v>
      </c>
      <c r="G65" s="4">
        <f t="shared" si="3"/>
        <v>0.1</v>
      </c>
      <c r="H65" s="4" t="s">
        <v>12</v>
      </c>
    </row>
    <row r="66" ht="15.75" customHeight="1">
      <c r="A66" s="3" t="s">
        <v>98</v>
      </c>
      <c r="B66" s="4" t="s">
        <v>9</v>
      </c>
      <c r="C66" s="4" t="s">
        <v>13</v>
      </c>
      <c r="D66" s="3" t="s">
        <v>100</v>
      </c>
      <c r="E66" s="4">
        <f t="shared" si="1"/>
        <v>3</v>
      </c>
      <c r="F66" s="4">
        <f t="shared" si="2"/>
        <v>50</v>
      </c>
      <c r="G66" s="4">
        <f t="shared" si="3"/>
        <v>0.06</v>
      </c>
      <c r="H66" s="4" t="s">
        <v>12</v>
      </c>
    </row>
    <row r="67" ht="15.75" customHeight="1">
      <c r="A67" s="3" t="s">
        <v>98</v>
      </c>
      <c r="B67" s="4" t="s">
        <v>9</v>
      </c>
      <c r="C67" s="4" t="s">
        <v>16</v>
      </c>
      <c r="D67" s="3" t="s">
        <v>101</v>
      </c>
      <c r="E67" s="4">
        <f t="shared" si="1"/>
        <v>35</v>
      </c>
      <c r="F67" s="4">
        <f t="shared" si="2"/>
        <v>50</v>
      </c>
      <c r="G67" s="4">
        <f t="shared" si="3"/>
        <v>0.7</v>
      </c>
      <c r="H67" s="4" t="s">
        <v>18</v>
      </c>
    </row>
    <row r="68" ht="15.75" customHeight="1">
      <c r="A68" s="3" t="s">
        <v>98</v>
      </c>
      <c r="B68" s="4" t="s">
        <v>23</v>
      </c>
      <c r="C68" s="4" t="s">
        <v>10</v>
      </c>
      <c r="D68" s="3" t="s">
        <v>102</v>
      </c>
      <c r="E68" s="4">
        <f t="shared" si="1"/>
        <v>42</v>
      </c>
      <c r="F68" s="4">
        <f t="shared" si="2"/>
        <v>50</v>
      </c>
      <c r="G68" s="4">
        <f t="shared" si="3"/>
        <v>0.84</v>
      </c>
      <c r="H68" s="4" t="s">
        <v>18</v>
      </c>
    </row>
    <row r="69" ht="15.75" customHeight="1">
      <c r="A69" s="3" t="s">
        <v>98</v>
      </c>
      <c r="B69" s="4" t="s">
        <v>23</v>
      </c>
      <c r="C69" s="4" t="s">
        <v>13</v>
      </c>
      <c r="D69" s="3" t="s">
        <v>103</v>
      </c>
      <c r="E69" s="4">
        <f t="shared" si="1"/>
        <v>16</v>
      </c>
      <c r="F69" s="4">
        <f t="shared" si="2"/>
        <v>50</v>
      </c>
      <c r="G69" s="4">
        <f t="shared" si="3"/>
        <v>0.32</v>
      </c>
      <c r="H69" s="4" t="s">
        <v>12</v>
      </c>
    </row>
    <row r="70" ht="15.75" customHeight="1">
      <c r="A70" s="3" t="s">
        <v>98</v>
      </c>
      <c r="B70" s="4" t="s">
        <v>23</v>
      </c>
      <c r="C70" s="4" t="s">
        <v>16</v>
      </c>
      <c r="D70" s="3" t="s">
        <v>104</v>
      </c>
      <c r="E70" s="4">
        <f t="shared" si="1"/>
        <v>46</v>
      </c>
      <c r="F70" s="4">
        <f t="shared" si="2"/>
        <v>50</v>
      </c>
      <c r="G70" s="4">
        <f t="shared" si="3"/>
        <v>0.92</v>
      </c>
      <c r="H70" s="4" t="s">
        <v>18</v>
      </c>
    </row>
    <row r="71" ht="15.75" customHeight="1">
      <c r="A71" s="3" t="s">
        <v>98</v>
      </c>
      <c r="B71" s="4" t="s">
        <v>105</v>
      </c>
      <c r="C71" s="4" t="s">
        <v>10</v>
      </c>
      <c r="D71" s="3" t="s">
        <v>106</v>
      </c>
      <c r="E71" s="4">
        <f t="shared" si="1"/>
        <v>47</v>
      </c>
      <c r="F71" s="4">
        <f t="shared" si="2"/>
        <v>100</v>
      </c>
      <c r="G71" s="4">
        <f t="shared" si="3"/>
        <v>0.47</v>
      </c>
      <c r="H71" s="4" t="s">
        <v>12</v>
      </c>
    </row>
    <row r="72" ht="15.75" customHeight="1">
      <c r="A72" s="3" t="s">
        <v>98</v>
      </c>
      <c r="B72" s="4" t="s">
        <v>105</v>
      </c>
      <c r="C72" s="4" t="s">
        <v>13</v>
      </c>
      <c r="D72" s="3" t="s">
        <v>107</v>
      </c>
      <c r="E72" s="4">
        <f t="shared" si="1"/>
        <v>19</v>
      </c>
      <c r="F72" s="4">
        <f t="shared" si="2"/>
        <v>100</v>
      </c>
      <c r="G72" s="4">
        <f t="shared" si="3"/>
        <v>0.19</v>
      </c>
      <c r="H72" s="4" t="s">
        <v>15</v>
      </c>
    </row>
    <row r="73" ht="15.75" customHeight="1">
      <c r="A73" s="3" t="s">
        <v>98</v>
      </c>
      <c r="B73" s="4" t="s">
        <v>105</v>
      </c>
      <c r="C73" s="4" t="s">
        <v>16</v>
      </c>
      <c r="D73" s="3" t="s">
        <v>108</v>
      </c>
      <c r="E73" s="4">
        <f t="shared" si="1"/>
        <v>81</v>
      </c>
      <c r="F73" s="4">
        <f t="shared" si="2"/>
        <v>100</v>
      </c>
      <c r="G73" s="4">
        <f t="shared" si="3"/>
        <v>0.81</v>
      </c>
      <c r="H73" s="4" t="s">
        <v>18</v>
      </c>
    </row>
    <row r="74" ht="15.75" customHeight="1">
      <c r="A74" s="3" t="s">
        <v>109</v>
      </c>
      <c r="B74" s="4" t="s">
        <v>9</v>
      </c>
      <c r="C74" s="4" t="s">
        <v>10</v>
      </c>
      <c r="D74" s="3" t="s">
        <v>110</v>
      </c>
      <c r="E74" s="4">
        <f t="shared" si="1"/>
        <v>17</v>
      </c>
      <c r="F74" s="4">
        <f t="shared" si="2"/>
        <v>50</v>
      </c>
      <c r="G74" s="4">
        <f t="shared" si="3"/>
        <v>0.34</v>
      </c>
      <c r="H74" s="4" t="s">
        <v>12</v>
      </c>
    </row>
    <row r="75" ht="15.75" customHeight="1">
      <c r="A75" s="3" t="s">
        <v>109</v>
      </c>
      <c r="B75" s="4" t="s">
        <v>9</v>
      </c>
      <c r="C75" s="4" t="s">
        <v>13</v>
      </c>
      <c r="D75" s="3" t="s">
        <v>111</v>
      </c>
      <c r="E75" s="4">
        <f t="shared" si="1"/>
        <v>19</v>
      </c>
      <c r="F75" s="4">
        <f t="shared" si="2"/>
        <v>50</v>
      </c>
      <c r="G75" s="4">
        <f t="shared" si="3"/>
        <v>0.38</v>
      </c>
      <c r="H75" s="4" t="s">
        <v>12</v>
      </c>
    </row>
    <row r="76" ht="15.75" customHeight="1">
      <c r="A76" s="3" t="s">
        <v>109</v>
      </c>
      <c r="B76" s="4" t="s">
        <v>9</v>
      </c>
      <c r="C76" s="4" t="s">
        <v>16</v>
      </c>
      <c r="D76" s="3" t="s">
        <v>112</v>
      </c>
      <c r="E76" s="4">
        <f t="shared" si="1"/>
        <v>40</v>
      </c>
      <c r="F76" s="4">
        <f t="shared" si="2"/>
        <v>50</v>
      </c>
      <c r="G76" s="4">
        <f t="shared" si="3"/>
        <v>0.8</v>
      </c>
      <c r="H76" s="4" t="s">
        <v>18</v>
      </c>
    </row>
    <row r="77" ht="15.75" customHeight="1">
      <c r="A77" s="3" t="s">
        <v>109</v>
      </c>
      <c r="B77" s="4" t="s">
        <v>23</v>
      </c>
      <c r="C77" s="4" t="s">
        <v>10</v>
      </c>
      <c r="D77" s="3" t="s">
        <v>113</v>
      </c>
      <c r="E77" s="4">
        <f t="shared" si="1"/>
        <v>3</v>
      </c>
      <c r="F77" s="4">
        <f t="shared" si="2"/>
        <v>50</v>
      </c>
      <c r="G77" s="4">
        <f t="shared" si="3"/>
        <v>0.06</v>
      </c>
      <c r="H77" s="4" t="s">
        <v>18</v>
      </c>
    </row>
    <row r="78" ht="15.75" customHeight="1">
      <c r="A78" s="3" t="s">
        <v>109</v>
      </c>
      <c r="B78" s="4" t="s">
        <v>23</v>
      </c>
      <c r="C78" s="4" t="s">
        <v>13</v>
      </c>
      <c r="D78" s="3" t="s">
        <v>114</v>
      </c>
      <c r="E78" s="4">
        <f t="shared" si="1"/>
        <v>5</v>
      </c>
      <c r="F78" s="4">
        <f t="shared" si="2"/>
        <v>50</v>
      </c>
      <c r="G78" s="4">
        <f t="shared" si="3"/>
        <v>0.1</v>
      </c>
      <c r="H78" s="4" t="s">
        <v>18</v>
      </c>
    </row>
    <row r="79" ht="15.75" customHeight="1">
      <c r="A79" s="3" t="s">
        <v>109</v>
      </c>
      <c r="B79" s="4" t="s">
        <v>23</v>
      </c>
      <c r="C79" s="4" t="s">
        <v>16</v>
      </c>
      <c r="D79" s="3" t="s">
        <v>115</v>
      </c>
      <c r="E79" s="4">
        <f t="shared" si="1"/>
        <v>5</v>
      </c>
      <c r="F79" s="4">
        <f t="shared" si="2"/>
        <v>50</v>
      </c>
      <c r="G79" s="4">
        <f t="shared" si="3"/>
        <v>0.1</v>
      </c>
      <c r="H79" s="4" t="s">
        <v>18</v>
      </c>
    </row>
    <row r="80" ht="15.75" customHeight="1">
      <c r="A80" s="3" t="s">
        <v>109</v>
      </c>
      <c r="B80" s="4" t="s">
        <v>19</v>
      </c>
      <c r="C80" s="4" t="s">
        <v>10</v>
      </c>
      <c r="D80" s="3" t="s">
        <v>116</v>
      </c>
      <c r="E80" s="4">
        <f t="shared" si="1"/>
        <v>1</v>
      </c>
      <c r="F80" s="4">
        <f t="shared" si="2"/>
        <v>50</v>
      </c>
      <c r="G80" s="4">
        <f t="shared" si="3"/>
        <v>0.02</v>
      </c>
      <c r="H80" s="4" t="s">
        <v>18</v>
      </c>
    </row>
    <row r="81" ht="15.75" customHeight="1">
      <c r="A81" s="3" t="s">
        <v>109</v>
      </c>
      <c r="B81" s="4" t="s">
        <v>19</v>
      </c>
      <c r="C81" s="4" t="s">
        <v>13</v>
      </c>
      <c r="D81" s="3" t="s">
        <v>117</v>
      </c>
      <c r="E81" s="4">
        <f t="shared" si="1"/>
        <v>0</v>
      </c>
      <c r="F81" s="4">
        <f t="shared" si="2"/>
        <v>50</v>
      </c>
      <c r="G81" s="4">
        <f t="shared" si="3"/>
        <v>0</v>
      </c>
      <c r="H81" s="4" t="s">
        <v>18</v>
      </c>
    </row>
    <row r="82" ht="15.75" customHeight="1">
      <c r="A82" s="3" t="s">
        <v>109</v>
      </c>
      <c r="B82" s="4" t="s">
        <v>19</v>
      </c>
      <c r="C82" s="4" t="s">
        <v>16</v>
      </c>
      <c r="D82" s="3" t="s">
        <v>117</v>
      </c>
      <c r="E82" s="4">
        <f t="shared" si="1"/>
        <v>0</v>
      </c>
      <c r="F82" s="4">
        <f t="shared" si="2"/>
        <v>50</v>
      </c>
      <c r="G82" s="4">
        <f t="shared" si="3"/>
        <v>0</v>
      </c>
      <c r="H82" s="4" t="s">
        <v>18</v>
      </c>
    </row>
    <row r="83" ht="15.75" customHeight="1">
      <c r="A83" s="3" t="s">
        <v>109</v>
      </c>
      <c r="B83" s="4" t="s">
        <v>118</v>
      </c>
      <c r="C83" s="4" t="s">
        <v>10</v>
      </c>
      <c r="D83" s="3" t="s">
        <v>119</v>
      </c>
      <c r="E83" s="4">
        <f t="shared" si="1"/>
        <v>21</v>
      </c>
      <c r="F83" s="4">
        <f t="shared" si="2"/>
        <v>150</v>
      </c>
      <c r="G83" s="4">
        <f t="shared" si="3"/>
        <v>0.14</v>
      </c>
      <c r="H83" s="4" t="s">
        <v>12</v>
      </c>
    </row>
    <row r="84" ht="15.75" customHeight="1">
      <c r="A84" s="3" t="s">
        <v>109</v>
      </c>
      <c r="B84" s="4" t="s">
        <v>118</v>
      </c>
      <c r="C84" s="4" t="s">
        <v>13</v>
      </c>
      <c r="D84" s="3" t="s">
        <v>120</v>
      </c>
      <c r="E84" s="4">
        <f t="shared" si="1"/>
        <v>24</v>
      </c>
      <c r="F84" s="4">
        <f t="shared" si="2"/>
        <v>150</v>
      </c>
      <c r="G84" s="4">
        <f t="shared" si="3"/>
        <v>0.16</v>
      </c>
      <c r="H84" s="4" t="s">
        <v>12</v>
      </c>
    </row>
    <row r="85" ht="15.75" customHeight="1">
      <c r="A85" s="3" t="s">
        <v>109</v>
      </c>
      <c r="B85" s="4" t="s">
        <v>118</v>
      </c>
      <c r="C85" s="4" t="s">
        <v>16</v>
      </c>
      <c r="D85" s="3" t="s">
        <v>121</v>
      </c>
      <c r="E85" s="4">
        <f t="shared" si="1"/>
        <v>45</v>
      </c>
      <c r="F85" s="4">
        <f t="shared" si="2"/>
        <v>150</v>
      </c>
      <c r="G85" s="4">
        <f t="shared" si="3"/>
        <v>0.3</v>
      </c>
      <c r="H85" s="4" t="s">
        <v>18</v>
      </c>
    </row>
    <row r="86" ht="15.75" customHeight="1">
      <c r="A86" s="3" t="s">
        <v>122</v>
      </c>
      <c r="B86" s="4" t="s">
        <v>32</v>
      </c>
      <c r="C86" s="4" t="s">
        <v>10</v>
      </c>
      <c r="D86" s="3" t="s">
        <v>123</v>
      </c>
      <c r="E86" s="4">
        <f t="shared" si="1"/>
        <v>136</v>
      </c>
      <c r="F86" s="4">
        <f t="shared" si="2"/>
        <v>200</v>
      </c>
      <c r="G86" s="4">
        <f t="shared" si="3"/>
        <v>0.68</v>
      </c>
      <c r="H86" s="4" t="s">
        <v>18</v>
      </c>
    </row>
    <row r="87" ht="15.75" customHeight="1">
      <c r="A87" s="3" t="s">
        <v>122</v>
      </c>
      <c r="B87" s="4" t="s">
        <v>32</v>
      </c>
      <c r="C87" s="4" t="s">
        <v>13</v>
      </c>
      <c r="D87" s="3" t="s">
        <v>124</v>
      </c>
      <c r="E87" s="4">
        <f t="shared" si="1"/>
        <v>111</v>
      </c>
      <c r="F87" s="4">
        <f t="shared" si="2"/>
        <v>198</v>
      </c>
      <c r="G87" s="4">
        <f t="shared" si="3"/>
        <v>0.5606060606</v>
      </c>
      <c r="H87" s="4" t="s">
        <v>18</v>
      </c>
    </row>
    <row r="88" ht="15.75" customHeight="1">
      <c r="A88" s="3" t="s">
        <v>122</v>
      </c>
      <c r="B88" s="4" t="s">
        <v>32</v>
      </c>
      <c r="C88" s="4" t="s">
        <v>16</v>
      </c>
      <c r="D88" s="3" t="s">
        <v>125</v>
      </c>
      <c r="E88" s="4">
        <f t="shared" si="1"/>
        <v>130</v>
      </c>
      <c r="F88" s="4">
        <f t="shared" si="2"/>
        <v>200</v>
      </c>
      <c r="G88" s="4">
        <f t="shared" si="3"/>
        <v>0.65</v>
      </c>
      <c r="H88" s="4" t="s">
        <v>18</v>
      </c>
    </row>
    <row r="89" ht="15.75" customHeight="1">
      <c r="A89" s="3" t="s">
        <v>122</v>
      </c>
      <c r="B89" s="4" t="s">
        <v>36</v>
      </c>
      <c r="C89" s="4" t="s">
        <v>10</v>
      </c>
      <c r="D89" s="3" t="s">
        <v>126</v>
      </c>
      <c r="E89" s="4">
        <f t="shared" si="1"/>
        <v>89</v>
      </c>
      <c r="F89" s="4">
        <f t="shared" si="2"/>
        <v>199</v>
      </c>
      <c r="G89" s="4">
        <f t="shared" si="3"/>
        <v>0.4472361809</v>
      </c>
      <c r="H89" s="4" t="s">
        <v>12</v>
      </c>
    </row>
    <row r="90" ht="15.75" customHeight="1">
      <c r="A90" s="3" t="s">
        <v>122</v>
      </c>
      <c r="B90" s="4" t="s">
        <v>36</v>
      </c>
      <c r="C90" s="4" t="s">
        <v>13</v>
      </c>
      <c r="D90" s="3" t="s">
        <v>127</v>
      </c>
      <c r="E90" s="4">
        <f t="shared" si="1"/>
        <v>133</v>
      </c>
      <c r="F90" s="4">
        <f t="shared" si="2"/>
        <v>198</v>
      </c>
      <c r="G90" s="4">
        <f t="shared" si="3"/>
        <v>0.6717171717</v>
      </c>
      <c r="H90" s="4" t="s">
        <v>18</v>
      </c>
    </row>
    <row r="91" ht="15.75" customHeight="1">
      <c r="A91" s="3" t="s">
        <v>122</v>
      </c>
      <c r="B91" s="4" t="s">
        <v>36</v>
      </c>
      <c r="C91" s="4" t="s">
        <v>16</v>
      </c>
      <c r="D91" s="3" t="s">
        <v>128</v>
      </c>
      <c r="E91" s="4">
        <f t="shared" si="1"/>
        <v>134</v>
      </c>
      <c r="F91" s="4">
        <f t="shared" si="2"/>
        <v>198</v>
      </c>
      <c r="G91" s="4">
        <f t="shared" si="3"/>
        <v>0.6767676768</v>
      </c>
      <c r="H91" s="4" t="s">
        <v>18</v>
      </c>
    </row>
    <row r="92" ht="15.75" customHeight="1">
      <c r="A92" s="3" t="s">
        <v>122</v>
      </c>
      <c r="B92" s="4" t="s">
        <v>40</v>
      </c>
      <c r="C92" s="4" t="s">
        <v>10</v>
      </c>
      <c r="D92" s="3" t="s">
        <v>129</v>
      </c>
      <c r="E92" s="4">
        <f t="shared" si="1"/>
        <v>126</v>
      </c>
      <c r="F92" s="4">
        <f t="shared" si="2"/>
        <v>197</v>
      </c>
      <c r="G92" s="4">
        <f t="shared" si="3"/>
        <v>0.6395939086</v>
      </c>
      <c r="H92" s="4" t="s">
        <v>12</v>
      </c>
    </row>
    <row r="93" ht="15.75" customHeight="1">
      <c r="A93" s="3" t="s">
        <v>122</v>
      </c>
      <c r="B93" s="4" t="s">
        <v>40</v>
      </c>
      <c r="C93" s="4" t="s">
        <v>13</v>
      </c>
      <c r="D93" s="3" t="s">
        <v>130</v>
      </c>
      <c r="E93" s="4">
        <f t="shared" si="1"/>
        <v>115</v>
      </c>
      <c r="F93" s="4">
        <f t="shared" si="2"/>
        <v>193</v>
      </c>
      <c r="G93" s="4">
        <f t="shared" si="3"/>
        <v>0.5958549223</v>
      </c>
      <c r="H93" s="4" t="s">
        <v>12</v>
      </c>
    </row>
    <row r="94" ht="15.75" customHeight="1">
      <c r="A94" s="3" t="s">
        <v>122</v>
      </c>
      <c r="B94" s="4" t="s">
        <v>40</v>
      </c>
      <c r="C94" s="4" t="s">
        <v>16</v>
      </c>
      <c r="D94" s="3" t="s">
        <v>131</v>
      </c>
      <c r="E94" s="4">
        <f t="shared" si="1"/>
        <v>152</v>
      </c>
      <c r="F94" s="4">
        <f t="shared" si="2"/>
        <v>200</v>
      </c>
      <c r="G94" s="4">
        <f t="shared" si="3"/>
        <v>0.76</v>
      </c>
      <c r="H94" s="4" t="s">
        <v>18</v>
      </c>
    </row>
    <row r="95" ht="15.75" customHeight="1">
      <c r="A95" s="3" t="s">
        <v>122</v>
      </c>
      <c r="B95" s="4" t="s">
        <v>44</v>
      </c>
      <c r="C95" s="4" t="s">
        <v>10</v>
      </c>
      <c r="D95" s="3" t="s">
        <v>132</v>
      </c>
      <c r="E95" s="4">
        <f t="shared" si="1"/>
        <v>79</v>
      </c>
      <c r="F95" s="4">
        <f t="shared" si="2"/>
        <v>195</v>
      </c>
      <c r="G95" s="4">
        <f t="shared" si="3"/>
        <v>0.4051282051</v>
      </c>
      <c r="H95" s="4" t="s">
        <v>12</v>
      </c>
    </row>
    <row r="96" ht="15.75" customHeight="1">
      <c r="A96" s="3" t="s">
        <v>122</v>
      </c>
      <c r="B96" s="4" t="s">
        <v>44</v>
      </c>
      <c r="C96" s="4" t="s">
        <v>13</v>
      </c>
      <c r="D96" s="3" t="s">
        <v>133</v>
      </c>
      <c r="E96" s="4">
        <f t="shared" si="1"/>
        <v>75</v>
      </c>
      <c r="F96" s="4">
        <f t="shared" si="2"/>
        <v>197</v>
      </c>
      <c r="G96" s="4">
        <f t="shared" si="3"/>
        <v>0.3807106599</v>
      </c>
      <c r="H96" s="4" t="s">
        <v>12</v>
      </c>
    </row>
    <row r="97" ht="15.75" customHeight="1">
      <c r="A97" s="3" t="s">
        <v>122</v>
      </c>
      <c r="B97" s="4" t="s">
        <v>44</v>
      </c>
      <c r="C97" s="4" t="s">
        <v>16</v>
      </c>
      <c r="D97" s="3" t="s">
        <v>134</v>
      </c>
      <c r="E97" s="4">
        <f t="shared" si="1"/>
        <v>118</v>
      </c>
      <c r="F97" s="4">
        <f t="shared" si="2"/>
        <v>198</v>
      </c>
      <c r="G97" s="4">
        <f t="shared" si="3"/>
        <v>0.595959596</v>
      </c>
      <c r="H97" s="4" t="s">
        <v>18</v>
      </c>
    </row>
    <row r="98" ht="15.75" customHeight="1">
      <c r="A98" s="3" t="s">
        <v>122</v>
      </c>
      <c r="B98" s="4" t="s">
        <v>48</v>
      </c>
      <c r="C98" s="4" t="s">
        <v>10</v>
      </c>
      <c r="D98" s="3" t="s">
        <v>135</v>
      </c>
      <c r="E98" s="4">
        <f t="shared" si="1"/>
        <v>86</v>
      </c>
      <c r="F98" s="4">
        <f t="shared" si="2"/>
        <v>200</v>
      </c>
      <c r="G98" s="4">
        <f t="shared" si="3"/>
        <v>0.43</v>
      </c>
      <c r="H98" s="4" t="s">
        <v>12</v>
      </c>
    </row>
    <row r="99" ht="15.75" customHeight="1">
      <c r="A99" s="3" t="s">
        <v>122</v>
      </c>
      <c r="B99" s="4" t="s">
        <v>48</v>
      </c>
      <c r="C99" s="4" t="s">
        <v>13</v>
      </c>
      <c r="D99" s="3" t="s">
        <v>136</v>
      </c>
      <c r="E99" s="4">
        <f t="shared" si="1"/>
        <v>147</v>
      </c>
      <c r="F99" s="4">
        <f t="shared" si="2"/>
        <v>200</v>
      </c>
      <c r="G99" s="4">
        <f t="shared" si="3"/>
        <v>0.735</v>
      </c>
      <c r="H99" s="4" t="s">
        <v>18</v>
      </c>
    </row>
    <row r="100" ht="15.75" customHeight="1">
      <c r="A100" s="3" t="s">
        <v>122</v>
      </c>
      <c r="B100" s="4" t="s">
        <v>48</v>
      </c>
      <c r="C100" s="4" t="s">
        <v>16</v>
      </c>
      <c r="D100" s="3" t="s">
        <v>137</v>
      </c>
      <c r="E100" s="4">
        <f t="shared" si="1"/>
        <v>157</v>
      </c>
      <c r="F100" s="4">
        <f t="shared" si="2"/>
        <v>200</v>
      </c>
      <c r="G100" s="4">
        <f t="shared" si="3"/>
        <v>0.785</v>
      </c>
      <c r="H100" s="4" t="s">
        <v>18</v>
      </c>
    </row>
    <row r="101" ht="15.75" customHeight="1">
      <c r="A101" s="3" t="s">
        <v>122</v>
      </c>
      <c r="B101" s="4" t="s">
        <v>52</v>
      </c>
      <c r="C101" s="4" t="s">
        <v>10</v>
      </c>
      <c r="D101" s="3" t="s">
        <v>138</v>
      </c>
      <c r="E101" s="4">
        <f t="shared" si="1"/>
        <v>175</v>
      </c>
      <c r="F101" s="4">
        <f t="shared" si="2"/>
        <v>200</v>
      </c>
      <c r="G101" s="4">
        <f t="shared" si="3"/>
        <v>0.875</v>
      </c>
      <c r="H101" s="4" t="s">
        <v>18</v>
      </c>
    </row>
    <row r="102" ht="15.75" customHeight="1">
      <c r="A102" s="3" t="s">
        <v>122</v>
      </c>
      <c r="B102" s="4" t="s">
        <v>52</v>
      </c>
      <c r="C102" s="4" t="s">
        <v>13</v>
      </c>
      <c r="D102" s="3" t="s">
        <v>139</v>
      </c>
      <c r="E102" s="4">
        <f t="shared" si="1"/>
        <v>84</v>
      </c>
      <c r="F102" s="4">
        <f t="shared" si="2"/>
        <v>200</v>
      </c>
      <c r="G102" s="4">
        <f t="shared" si="3"/>
        <v>0.42</v>
      </c>
      <c r="H102" s="4" t="s">
        <v>15</v>
      </c>
    </row>
    <row r="103" ht="15.75" customHeight="1">
      <c r="A103" s="3" t="s">
        <v>122</v>
      </c>
      <c r="B103" s="4" t="s">
        <v>52</v>
      </c>
      <c r="C103" s="4" t="s">
        <v>16</v>
      </c>
      <c r="D103" s="3" t="s">
        <v>140</v>
      </c>
      <c r="E103" s="4">
        <f t="shared" si="1"/>
        <v>135</v>
      </c>
      <c r="F103" s="4">
        <f t="shared" si="2"/>
        <v>199</v>
      </c>
      <c r="G103" s="4">
        <f t="shared" si="3"/>
        <v>0.6783919598</v>
      </c>
      <c r="H103" s="4" t="s">
        <v>12</v>
      </c>
    </row>
    <row r="104" ht="15.75" customHeight="1">
      <c r="A104" s="3" t="s">
        <v>122</v>
      </c>
      <c r="B104" s="4" t="s">
        <v>56</v>
      </c>
      <c r="C104" s="4" t="s">
        <v>10</v>
      </c>
      <c r="D104" s="3" t="s">
        <v>141</v>
      </c>
      <c r="E104" s="4">
        <f t="shared" si="1"/>
        <v>104</v>
      </c>
      <c r="F104" s="4">
        <f t="shared" si="2"/>
        <v>198</v>
      </c>
      <c r="G104" s="4">
        <f t="shared" si="3"/>
        <v>0.5252525253</v>
      </c>
      <c r="H104" s="4" t="s">
        <v>58</v>
      </c>
    </row>
    <row r="105" ht="15.75" customHeight="1">
      <c r="A105" s="3" t="s">
        <v>122</v>
      </c>
      <c r="B105" s="4" t="s">
        <v>56</v>
      </c>
      <c r="C105" s="4" t="s">
        <v>13</v>
      </c>
      <c r="D105" s="3" t="s">
        <v>142</v>
      </c>
      <c r="E105" s="4">
        <f t="shared" si="1"/>
        <v>93</v>
      </c>
      <c r="F105" s="4">
        <f t="shared" si="2"/>
        <v>200</v>
      </c>
      <c r="G105" s="4">
        <f t="shared" si="3"/>
        <v>0.465</v>
      </c>
      <c r="H105" s="4" t="s">
        <v>12</v>
      </c>
    </row>
    <row r="106" ht="15.75" customHeight="1">
      <c r="A106" s="3" t="s">
        <v>122</v>
      </c>
      <c r="B106" s="4" t="s">
        <v>56</v>
      </c>
      <c r="C106" s="4" t="s">
        <v>16</v>
      </c>
      <c r="D106" s="3" t="s">
        <v>143</v>
      </c>
      <c r="E106" s="4">
        <f t="shared" si="1"/>
        <v>128</v>
      </c>
      <c r="F106" s="4">
        <f t="shared" si="2"/>
        <v>200</v>
      </c>
      <c r="G106" s="4">
        <f t="shared" si="3"/>
        <v>0.64</v>
      </c>
      <c r="H106" s="4" t="s">
        <v>18</v>
      </c>
    </row>
    <row r="107" ht="15.75" customHeight="1">
      <c r="A107" s="3" t="s">
        <v>122</v>
      </c>
      <c r="B107" s="4" t="s">
        <v>61</v>
      </c>
      <c r="C107" s="4" t="s">
        <v>10</v>
      </c>
      <c r="D107" s="3" t="s">
        <v>144</v>
      </c>
      <c r="E107" s="4">
        <f t="shared" si="1"/>
        <v>66</v>
      </c>
      <c r="F107" s="4">
        <f t="shared" si="2"/>
        <v>200</v>
      </c>
      <c r="G107" s="4">
        <f t="shared" si="3"/>
        <v>0.33</v>
      </c>
      <c r="H107" s="4" t="s">
        <v>18</v>
      </c>
    </row>
    <row r="108" ht="15.75" customHeight="1">
      <c r="A108" s="3" t="s">
        <v>122</v>
      </c>
      <c r="B108" s="4" t="s">
        <v>61</v>
      </c>
      <c r="C108" s="4" t="s">
        <v>13</v>
      </c>
      <c r="D108" s="3" t="s">
        <v>145</v>
      </c>
      <c r="E108" s="4">
        <f t="shared" si="1"/>
        <v>36</v>
      </c>
      <c r="F108" s="4">
        <f t="shared" si="2"/>
        <v>200</v>
      </c>
      <c r="G108" s="4">
        <f t="shared" si="3"/>
        <v>0.18</v>
      </c>
      <c r="H108" s="4" t="s">
        <v>12</v>
      </c>
    </row>
    <row r="109" ht="15.75" customHeight="1">
      <c r="A109" s="3" t="s">
        <v>122</v>
      </c>
      <c r="B109" s="4" t="s">
        <v>61</v>
      </c>
      <c r="C109" s="4" t="s">
        <v>16</v>
      </c>
      <c r="D109" s="3" t="s">
        <v>146</v>
      </c>
      <c r="E109" s="4">
        <f t="shared" si="1"/>
        <v>77</v>
      </c>
      <c r="F109" s="4">
        <f t="shared" si="2"/>
        <v>200</v>
      </c>
      <c r="G109" s="4">
        <f t="shared" si="3"/>
        <v>0.385</v>
      </c>
      <c r="H109" s="4" t="s">
        <v>18</v>
      </c>
    </row>
    <row r="110" ht="15.75" customHeight="1">
      <c r="A110" s="3" t="s">
        <v>122</v>
      </c>
      <c r="B110" s="4" t="s">
        <v>65</v>
      </c>
      <c r="C110" s="4" t="s">
        <v>10</v>
      </c>
      <c r="D110" s="3" t="s">
        <v>147</v>
      </c>
      <c r="E110" s="4">
        <f t="shared" si="1"/>
        <v>62</v>
      </c>
      <c r="F110" s="4">
        <f t="shared" si="2"/>
        <v>200</v>
      </c>
      <c r="G110" s="4">
        <f t="shared" si="3"/>
        <v>0.31</v>
      </c>
      <c r="H110" s="4" t="s">
        <v>12</v>
      </c>
    </row>
    <row r="111" ht="15.75" customHeight="1">
      <c r="A111" s="3" t="s">
        <v>122</v>
      </c>
      <c r="B111" s="4" t="s">
        <v>65</v>
      </c>
      <c r="C111" s="4" t="s">
        <v>13</v>
      </c>
      <c r="D111" s="3" t="s">
        <v>148</v>
      </c>
      <c r="E111" s="4">
        <f t="shared" si="1"/>
        <v>41</v>
      </c>
      <c r="F111" s="4">
        <f t="shared" si="2"/>
        <v>198</v>
      </c>
      <c r="G111" s="4">
        <f t="shared" si="3"/>
        <v>0.2070707071</v>
      </c>
      <c r="H111" s="4" t="s">
        <v>12</v>
      </c>
    </row>
    <row r="112" ht="15.75" customHeight="1">
      <c r="A112" s="3" t="s">
        <v>122</v>
      </c>
      <c r="B112" s="4" t="s">
        <v>65</v>
      </c>
      <c r="C112" s="4" t="s">
        <v>16</v>
      </c>
      <c r="D112" s="3" t="s">
        <v>149</v>
      </c>
      <c r="E112" s="4">
        <f t="shared" si="1"/>
        <v>91</v>
      </c>
      <c r="F112" s="4">
        <f t="shared" si="2"/>
        <v>200</v>
      </c>
      <c r="G112" s="4">
        <f t="shared" si="3"/>
        <v>0.455</v>
      </c>
      <c r="H112" s="4" t="s">
        <v>18</v>
      </c>
    </row>
    <row r="113" ht="15.75" customHeight="1">
      <c r="A113" s="3" t="s">
        <v>122</v>
      </c>
      <c r="B113" s="4" t="s">
        <v>19</v>
      </c>
      <c r="C113" s="4" t="s">
        <v>10</v>
      </c>
      <c r="D113" s="3" t="s">
        <v>150</v>
      </c>
      <c r="E113" s="4">
        <f t="shared" si="1"/>
        <v>5</v>
      </c>
      <c r="F113" s="4">
        <f t="shared" si="2"/>
        <v>200</v>
      </c>
      <c r="G113" s="4">
        <f t="shared" si="3"/>
        <v>0.025</v>
      </c>
      <c r="H113" s="4" t="s">
        <v>12</v>
      </c>
    </row>
    <row r="114" ht="15.75" customHeight="1">
      <c r="A114" s="3" t="s">
        <v>122</v>
      </c>
      <c r="B114" s="4" t="s">
        <v>19</v>
      </c>
      <c r="C114" s="4" t="s">
        <v>13</v>
      </c>
      <c r="D114" s="3" t="s">
        <v>151</v>
      </c>
      <c r="E114" s="4">
        <f t="shared" si="1"/>
        <v>29</v>
      </c>
      <c r="F114" s="4">
        <f t="shared" si="2"/>
        <v>198</v>
      </c>
      <c r="G114" s="4">
        <f t="shared" si="3"/>
        <v>0.1464646465</v>
      </c>
      <c r="H114" s="4" t="s">
        <v>18</v>
      </c>
    </row>
    <row r="115" ht="15.75" customHeight="1">
      <c r="A115" s="3" t="s">
        <v>122</v>
      </c>
      <c r="B115" s="4" t="s">
        <v>19</v>
      </c>
      <c r="C115" s="4" t="s">
        <v>16</v>
      </c>
      <c r="D115" s="3" t="s">
        <v>152</v>
      </c>
      <c r="E115" s="4">
        <f t="shared" si="1"/>
        <v>41</v>
      </c>
      <c r="F115" s="4">
        <f t="shared" si="2"/>
        <v>199</v>
      </c>
      <c r="G115" s="4">
        <f t="shared" si="3"/>
        <v>0.2060301508</v>
      </c>
      <c r="H115" s="4" t="s">
        <v>18</v>
      </c>
    </row>
    <row r="116" ht="15.75" customHeight="1">
      <c r="A116" s="3" t="s">
        <v>122</v>
      </c>
      <c r="B116" s="4" t="s">
        <v>72</v>
      </c>
      <c r="C116" s="4" t="s">
        <v>10</v>
      </c>
      <c r="D116" s="3" t="s">
        <v>153</v>
      </c>
      <c r="E116" s="4">
        <f t="shared" si="1"/>
        <v>35</v>
      </c>
      <c r="F116" s="4">
        <f t="shared" si="2"/>
        <v>199</v>
      </c>
      <c r="G116" s="4">
        <f t="shared" si="3"/>
        <v>0.175879397</v>
      </c>
      <c r="H116" s="4" t="s">
        <v>12</v>
      </c>
    </row>
    <row r="117" ht="15.75" customHeight="1">
      <c r="A117" s="3" t="s">
        <v>122</v>
      </c>
      <c r="B117" s="4" t="s">
        <v>72</v>
      </c>
      <c r="C117" s="4" t="s">
        <v>13</v>
      </c>
      <c r="D117" s="3" t="s">
        <v>154</v>
      </c>
      <c r="E117" s="4">
        <f t="shared" si="1"/>
        <v>18</v>
      </c>
      <c r="F117" s="4">
        <f t="shared" si="2"/>
        <v>200</v>
      </c>
      <c r="G117" s="4">
        <f t="shared" si="3"/>
        <v>0.09</v>
      </c>
      <c r="H117" s="4" t="s">
        <v>12</v>
      </c>
    </row>
    <row r="118" ht="15.75" customHeight="1">
      <c r="A118" s="3" t="s">
        <v>122</v>
      </c>
      <c r="B118" s="4" t="s">
        <v>72</v>
      </c>
      <c r="C118" s="4" t="s">
        <v>16</v>
      </c>
      <c r="D118" s="3" t="s">
        <v>155</v>
      </c>
      <c r="E118" s="4">
        <f t="shared" si="1"/>
        <v>69</v>
      </c>
      <c r="F118" s="4">
        <f t="shared" si="2"/>
        <v>200</v>
      </c>
      <c r="G118" s="4">
        <f t="shared" si="3"/>
        <v>0.345</v>
      </c>
      <c r="H118" s="4" t="s">
        <v>18</v>
      </c>
    </row>
    <row r="119" ht="15.75" customHeight="1">
      <c r="A119" s="3" t="s">
        <v>122</v>
      </c>
      <c r="B119" s="4" t="s">
        <v>9</v>
      </c>
      <c r="C119" s="4" t="s">
        <v>10</v>
      </c>
      <c r="D119" s="3" t="s">
        <v>156</v>
      </c>
      <c r="E119" s="4">
        <f t="shared" si="1"/>
        <v>3</v>
      </c>
      <c r="F119" s="4">
        <f t="shared" si="2"/>
        <v>191</v>
      </c>
      <c r="G119" s="4">
        <f t="shared" si="3"/>
        <v>0.01570680628</v>
      </c>
      <c r="H119" s="4" t="s">
        <v>58</v>
      </c>
    </row>
    <row r="120" ht="15.75" customHeight="1">
      <c r="A120" s="3" t="s">
        <v>122</v>
      </c>
      <c r="B120" s="4" t="s">
        <v>9</v>
      </c>
      <c r="C120" s="4" t="s">
        <v>13</v>
      </c>
      <c r="D120" s="3" t="s">
        <v>157</v>
      </c>
      <c r="E120" s="4">
        <f t="shared" si="1"/>
        <v>2</v>
      </c>
      <c r="F120" s="4">
        <f t="shared" si="2"/>
        <v>200</v>
      </c>
      <c r="G120" s="4">
        <f t="shared" si="3"/>
        <v>0.01</v>
      </c>
      <c r="H120" s="4" t="s">
        <v>12</v>
      </c>
    </row>
    <row r="121" ht="15.75" customHeight="1">
      <c r="A121" s="3" t="s">
        <v>122</v>
      </c>
      <c r="B121" s="4" t="s">
        <v>9</v>
      </c>
      <c r="C121" s="4" t="s">
        <v>16</v>
      </c>
      <c r="D121" s="3" t="s">
        <v>158</v>
      </c>
      <c r="E121" s="4">
        <f t="shared" si="1"/>
        <v>17</v>
      </c>
      <c r="F121" s="4">
        <f t="shared" si="2"/>
        <v>200</v>
      </c>
      <c r="G121" s="4">
        <f t="shared" si="3"/>
        <v>0.085</v>
      </c>
      <c r="H121" s="4" t="s">
        <v>18</v>
      </c>
    </row>
    <row r="122" ht="15.75" customHeight="1">
      <c r="A122" s="3" t="s">
        <v>122</v>
      </c>
      <c r="B122" s="4" t="s">
        <v>79</v>
      </c>
      <c r="C122" s="4" t="s">
        <v>10</v>
      </c>
      <c r="D122" s="3" t="s">
        <v>159</v>
      </c>
      <c r="E122" s="4">
        <f t="shared" si="1"/>
        <v>66</v>
      </c>
      <c r="F122" s="4">
        <f t="shared" si="2"/>
        <v>200</v>
      </c>
      <c r="G122" s="4">
        <f t="shared" si="3"/>
        <v>0.33</v>
      </c>
      <c r="H122" s="4" t="s">
        <v>12</v>
      </c>
    </row>
    <row r="123" ht="15.75" customHeight="1">
      <c r="A123" s="3" t="s">
        <v>122</v>
      </c>
      <c r="B123" s="4" t="s">
        <v>79</v>
      </c>
      <c r="C123" s="4" t="s">
        <v>13</v>
      </c>
      <c r="D123" s="3" t="s">
        <v>160</v>
      </c>
      <c r="E123" s="4">
        <f t="shared" si="1"/>
        <v>88</v>
      </c>
      <c r="F123" s="4">
        <f t="shared" si="2"/>
        <v>200</v>
      </c>
      <c r="G123" s="4">
        <f t="shared" si="3"/>
        <v>0.44</v>
      </c>
      <c r="H123" s="4" t="s">
        <v>12</v>
      </c>
    </row>
    <row r="124" ht="15.75" customHeight="1">
      <c r="A124" s="3" t="s">
        <v>122</v>
      </c>
      <c r="B124" s="4" t="s">
        <v>79</v>
      </c>
      <c r="C124" s="4" t="s">
        <v>16</v>
      </c>
      <c r="D124" s="3" t="s">
        <v>161</v>
      </c>
      <c r="E124" s="4">
        <f t="shared" si="1"/>
        <v>120</v>
      </c>
      <c r="F124" s="4">
        <f t="shared" si="2"/>
        <v>200</v>
      </c>
      <c r="G124" s="4">
        <f t="shared" si="3"/>
        <v>0.6</v>
      </c>
      <c r="H124" s="4" t="s">
        <v>18</v>
      </c>
    </row>
    <row r="125" ht="15.75" customHeight="1">
      <c r="A125" s="3" t="s">
        <v>122</v>
      </c>
      <c r="B125" s="4" t="s">
        <v>83</v>
      </c>
      <c r="C125" s="4" t="s">
        <v>10</v>
      </c>
      <c r="D125" s="3" t="s">
        <v>162</v>
      </c>
      <c r="E125" s="4">
        <f t="shared" si="1"/>
        <v>108</v>
      </c>
      <c r="F125" s="4">
        <f t="shared" si="2"/>
        <v>200</v>
      </c>
      <c r="G125" s="4">
        <f t="shared" si="3"/>
        <v>0.54</v>
      </c>
      <c r="H125" s="4" t="s">
        <v>58</v>
      </c>
    </row>
    <row r="126" ht="15.75" customHeight="1">
      <c r="A126" s="3" t="s">
        <v>122</v>
      </c>
      <c r="B126" s="4" t="s">
        <v>83</v>
      </c>
      <c r="C126" s="4" t="s">
        <v>13</v>
      </c>
      <c r="D126" s="3" t="s">
        <v>163</v>
      </c>
      <c r="E126" s="4">
        <f t="shared" si="1"/>
        <v>83</v>
      </c>
      <c r="F126" s="4">
        <f t="shared" si="2"/>
        <v>200</v>
      </c>
      <c r="G126" s="4">
        <f t="shared" si="3"/>
        <v>0.415</v>
      </c>
      <c r="H126" s="4" t="s">
        <v>12</v>
      </c>
    </row>
    <row r="127" ht="15.75" customHeight="1">
      <c r="A127" s="3" t="s">
        <v>122</v>
      </c>
      <c r="B127" s="4" t="s">
        <v>83</v>
      </c>
      <c r="C127" s="4" t="s">
        <v>16</v>
      </c>
      <c r="D127" s="3" t="s">
        <v>164</v>
      </c>
      <c r="E127" s="4">
        <f t="shared" si="1"/>
        <v>124</v>
      </c>
      <c r="F127" s="4">
        <f t="shared" si="2"/>
        <v>200</v>
      </c>
      <c r="G127" s="4">
        <f t="shared" si="3"/>
        <v>0.62</v>
      </c>
      <c r="H127" s="4" t="s">
        <v>18</v>
      </c>
    </row>
    <row r="128" ht="15.75" customHeight="1">
      <c r="A128" s="3" t="s">
        <v>122</v>
      </c>
      <c r="B128" s="4" t="s">
        <v>87</v>
      </c>
      <c r="C128" s="4" t="s">
        <v>10</v>
      </c>
      <c r="D128" s="3" t="s">
        <v>165</v>
      </c>
      <c r="E128" s="4">
        <f t="shared" si="1"/>
        <v>75</v>
      </c>
      <c r="F128" s="4">
        <f t="shared" si="2"/>
        <v>200</v>
      </c>
      <c r="G128" s="4">
        <f t="shared" si="3"/>
        <v>0.375</v>
      </c>
      <c r="H128" s="4" t="s">
        <v>12</v>
      </c>
    </row>
    <row r="129" ht="15.75" customHeight="1">
      <c r="A129" s="3" t="s">
        <v>122</v>
      </c>
      <c r="B129" s="4" t="s">
        <v>87</v>
      </c>
      <c r="C129" s="4" t="s">
        <v>13</v>
      </c>
      <c r="D129" s="3" t="s">
        <v>166</v>
      </c>
      <c r="E129" s="4">
        <f t="shared" si="1"/>
        <v>91</v>
      </c>
      <c r="F129" s="4">
        <f t="shared" si="2"/>
        <v>199</v>
      </c>
      <c r="G129" s="4">
        <f t="shared" si="3"/>
        <v>0.4572864322</v>
      </c>
      <c r="H129" s="4" t="s">
        <v>12</v>
      </c>
    </row>
    <row r="130" ht="15.75" customHeight="1">
      <c r="A130" s="3" t="s">
        <v>122</v>
      </c>
      <c r="B130" s="4" t="s">
        <v>87</v>
      </c>
      <c r="C130" s="4" t="s">
        <v>16</v>
      </c>
      <c r="D130" s="3" t="s">
        <v>167</v>
      </c>
      <c r="E130" s="4">
        <f t="shared" si="1"/>
        <v>107</v>
      </c>
      <c r="F130" s="4">
        <f t="shared" si="2"/>
        <v>200</v>
      </c>
      <c r="G130" s="4">
        <f t="shared" si="3"/>
        <v>0.535</v>
      </c>
      <c r="H130" s="4" t="s">
        <v>18</v>
      </c>
    </row>
    <row r="131" ht="15.75" customHeight="1">
      <c r="A131" s="3" t="s">
        <v>122</v>
      </c>
      <c r="B131" s="4" t="s">
        <v>23</v>
      </c>
      <c r="C131" s="4" t="s">
        <v>10</v>
      </c>
      <c r="D131" s="3" t="s">
        <v>168</v>
      </c>
      <c r="E131" s="4">
        <f t="shared" si="1"/>
        <v>24</v>
      </c>
      <c r="F131" s="4">
        <f t="shared" si="2"/>
        <v>200</v>
      </c>
      <c r="G131" s="4">
        <f t="shared" si="3"/>
        <v>0.12</v>
      </c>
      <c r="H131" s="4" t="s">
        <v>15</v>
      </c>
    </row>
    <row r="132" ht="15.75" customHeight="1">
      <c r="A132" s="3" t="s">
        <v>122</v>
      </c>
      <c r="B132" s="4" t="s">
        <v>23</v>
      </c>
      <c r="C132" s="4" t="s">
        <v>13</v>
      </c>
      <c r="D132" s="3" t="s">
        <v>169</v>
      </c>
      <c r="E132" s="4">
        <f t="shared" si="1"/>
        <v>74</v>
      </c>
      <c r="F132" s="4">
        <f t="shared" si="2"/>
        <v>200</v>
      </c>
      <c r="G132" s="4">
        <f t="shared" si="3"/>
        <v>0.37</v>
      </c>
      <c r="H132" s="4" t="s">
        <v>12</v>
      </c>
    </row>
    <row r="133" ht="15.75" customHeight="1">
      <c r="A133" s="3" t="s">
        <v>122</v>
      </c>
      <c r="B133" s="4" t="s">
        <v>23</v>
      </c>
      <c r="C133" s="4" t="s">
        <v>16</v>
      </c>
      <c r="D133" s="3" t="s">
        <v>170</v>
      </c>
      <c r="E133" s="4">
        <f t="shared" si="1"/>
        <v>99</v>
      </c>
      <c r="F133" s="4">
        <f t="shared" si="2"/>
        <v>200</v>
      </c>
      <c r="G133" s="4">
        <f t="shared" si="3"/>
        <v>0.495</v>
      </c>
      <c r="H133" s="4" t="s">
        <v>18</v>
      </c>
    </row>
    <row r="134" ht="15.75" customHeight="1">
      <c r="A134" s="3" t="s">
        <v>122</v>
      </c>
      <c r="B134" s="4" t="s">
        <v>94</v>
      </c>
      <c r="C134" s="4" t="s">
        <v>10</v>
      </c>
      <c r="D134" s="3" t="s">
        <v>171</v>
      </c>
      <c r="E134" s="4">
        <f t="shared" si="1"/>
        <v>1239</v>
      </c>
      <c r="F134" s="4">
        <f t="shared" si="2"/>
        <v>3179</v>
      </c>
      <c r="G134" s="4">
        <f t="shared" si="3"/>
        <v>0.3897452029</v>
      </c>
      <c r="H134" s="4" t="s">
        <v>12</v>
      </c>
    </row>
    <row r="135" ht="15.75" customHeight="1">
      <c r="A135" s="3" t="s">
        <v>122</v>
      </c>
      <c r="B135" s="4" t="s">
        <v>94</v>
      </c>
      <c r="C135" s="4" t="s">
        <v>13</v>
      </c>
      <c r="D135" s="3" t="s">
        <v>172</v>
      </c>
      <c r="E135" s="4">
        <f t="shared" si="1"/>
        <v>1220</v>
      </c>
      <c r="F135" s="4">
        <f t="shared" si="2"/>
        <v>3181</v>
      </c>
      <c r="G135" s="4">
        <f t="shared" si="3"/>
        <v>0.3835271927</v>
      </c>
      <c r="H135" s="4" t="s">
        <v>12</v>
      </c>
    </row>
    <row r="136" ht="15.75" customHeight="1">
      <c r="A136" s="3" t="s">
        <v>122</v>
      </c>
      <c r="B136" s="4" t="s">
        <v>94</v>
      </c>
      <c r="C136" s="4" t="s">
        <v>16</v>
      </c>
      <c r="D136" s="3" t="s">
        <v>173</v>
      </c>
      <c r="E136" s="4">
        <f t="shared" si="1"/>
        <v>1699</v>
      </c>
      <c r="F136" s="4">
        <f t="shared" si="2"/>
        <v>3194</v>
      </c>
      <c r="G136" s="4">
        <f t="shared" si="3"/>
        <v>0.5319348779</v>
      </c>
      <c r="H136" s="4" t="s">
        <v>18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42.29"/>
    <col customWidth="1" min="3" max="3" width="16.43"/>
    <col customWidth="1" min="4" max="4" width="19.86"/>
    <col customWidth="1" min="5" max="5" width="16.71"/>
    <col customWidth="1" min="6" max="6" width="18.29"/>
    <col customWidth="1" min="7" max="7" width="17.43"/>
    <col customWidth="1" min="8" max="8" width="12.0"/>
    <col customWidth="1" min="9" max="27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174</v>
      </c>
      <c r="B2" s="4" t="s">
        <v>175</v>
      </c>
      <c r="C2" s="4" t="s">
        <v>10</v>
      </c>
      <c r="D2" s="3" t="s">
        <v>176</v>
      </c>
      <c r="E2" s="4">
        <f t="shared" ref="E2:E17" si="1">(LEN(D2)-LEN(SUBSTITUTE(D2,"True","")))/4</f>
        <v>137</v>
      </c>
      <c r="F2" s="4">
        <f t="shared" ref="F2:F17" si="2">LEN(D2)-LEN(SUBSTITUTE(D2,",",""))+1</f>
        <v>200</v>
      </c>
      <c r="G2" s="4">
        <f t="shared" ref="G2:G17" si="3">E2/F2</f>
        <v>0.685</v>
      </c>
      <c r="H2" s="4" t="s">
        <v>12</v>
      </c>
    </row>
    <row r="3">
      <c r="A3" s="3" t="s">
        <v>174</v>
      </c>
      <c r="B3" s="4" t="s">
        <v>175</v>
      </c>
      <c r="C3" s="4" t="s">
        <v>16</v>
      </c>
      <c r="D3" s="3" t="s">
        <v>177</v>
      </c>
      <c r="E3" s="4">
        <f t="shared" si="1"/>
        <v>180</v>
      </c>
      <c r="F3" s="4">
        <f t="shared" si="2"/>
        <v>200</v>
      </c>
      <c r="G3" s="4">
        <f t="shared" si="3"/>
        <v>0.9</v>
      </c>
      <c r="H3" s="4" t="s">
        <v>18</v>
      </c>
    </row>
    <row r="4">
      <c r="A4" s="3" t="s">
        <v>174</v>
      </c>
      <c r="B4" s="4" t="s">
        <v>178</v>
      </c>
      <c r="C4" s="4" t="s">
        <v>10</v>
      </c>
      <c r="D4" s="3" t="s">
        <v>179</v>
      </c>
      <c r="E4" s="4">
        <f t="shared" si="1"/>
        <v>82</v>
      </c>
      <c r="F4" s="4">
        <f t="shared" si="2"/>
        <v>200</v>
      </c>
      <c r="G4" s="4">
        <f t="shared" si="3"/>
        <v>0.41</v>
      </c>
      <c r="H4" s="4" t="s">
        <v>12</v>
      </c>
    </row>
    <row r="5">
      <c r="A5" s="3" t="s">
        <v>174</v>
      </c>
      <c r="B5" s="4" t="s">
        <v>178</v>
      </c>
      <c r="C5" s="4" t="s">
        <v>16</v>
      </c>
      <c r="D5" s="3" t="s">
        <v>180</v>
      </c>
      <c r="E5" s="4">
        <f t="shared" si="1"/>
        <v>149</v>
      </c>
      <c r="F5" s="4">
        <f t="shared" si="2"/>
        <v>200</v>
      </c>
      <c r="G5" s="4">
        <f t="shared" si="3"/>
        <v>0.745</v>
      </c>
      <c r="H5" s="4" t="s">
        <v>18</v>
      </c>
    </row>
    <row r="6">
      <c r="A6" s="3" t="s">
        <v>174</v>
      </c>
      <c r="B6" s="4" t="s">
        <v>181</v>
      </c>
      <c r="C6" s="4" t="s">
        <v>10</v>
      </c>
      <c r="D6" s="3" t="s">
        <v>182</v>
      </c>
      <c r="E6" s="4">
        <f t="shared" si="1"/>
        <v>100</v>
      </c>
      <c r="F6" s="4">
        <f t="shared" si="2"/>
        <v>200</v>
      </c>
      <c r="G6" s="4">
        <f t="shared" si="3"/>
        <v>0.5</v>
      </c>
      <c r="H6" s="4" t="s">
        <v>18</v>
      </c>
    </row>
    <row r="7">
      <c r="A7" s="3" t="s">
        <v>174</v>
      </c>
      <c r="B7" s="4" t="s">
        <v>181</v>
      </c>
      <c r="C7" s="4" t="s">
        <v>16</v>
      </c>
      <c r="D7" s="3" t="s">
        <v>183</v>
      </c>
      <c r="E7" s="4">
        <f t="shared" si="1"/>
        <v>102</v>
      </c>
      <c r="F7" s="4">
        <f t="shared" si="2"/>
        <v>200</v>
      </c>
      <c r="G7" s="4">
        <f t="shared" si="3"/>
        <v>0.51</v>
      </c>
      <c r="H7" s="4" t="s">
        <v>18</v>
      </c>
    </row>
    <row r="8">
      <c r="A8" s="3" t="s">
        <v>174</v>
      </c>
      <c r="B8" s="4" t="s">
        <v>184</v>
      </c>
      <c r="C8" s="4" t="s">
        <v>10</v>
      </c>
      <c r="D8" s="3" t="s">
        <v>185</v>
      </c>
      <c r="E8" s="4">
        <f t="shared" si="1"/>
        <v>319</v>
      </c>
      <c r="F8" s="4">
        <f t="shared" si="2"/>
        <v>600</v>
      </c>
      <c r="G8" s="4">
        <f t="shared" si="3"/>
        <v>0.5316666667</v>
      </c>
      <c r="H8" s="4" t="s">
        <v>12</v>
      </c>
    </row>
    <row r="9">
      <c r="A9" s="3" t="s">
        <v>174</v>
      </c>
      <c r="B9" s="4" t="s">
        <v>184</v>
      </c>
      <c r="C9" s="4" t="s">
        <v>16</v>
      </c>
      <c r="D9" s="3" t="s">
        <v>186</v>
      </c>
      <c r="E9" s="4">
        <f t="shared" si="1"/>
        <v>431</v>
      </c>
      <c r="F9" s="4">
        <f t="shared" si="2"/>
        <v>600</v>
      </c>
      <c r="G9" s="4">
        <f t="shared" si="3"/>
        <v>0.7183333333</v>
      </c>
      <c r="H9" s="4" t="s">
        <v>18</v>
      </c>
    </row>
    <row r="10">
      <c r="A10" s="3" t="s">
        <v>187</v>
      </c>
      <c r="B10" s="4" t="s">
        <v>175</v>
      </c>
      <c r="C10" s="4" t="s">
        <v>10</v>
      </c>
      <c r="D10" s="3" t="s">
        <v>188</v>
      </c>
      <c r="E10" s="4">
        <f t="shared" si="1"/>
        <v>117</v>
      </c>
      <c r="F10" s="4">
        <f t="shared" si="2"/>
        <v>198</v>
      </c>
      <c r="G10" s="4">
        <f t="shared" si="3"/>
        <v>0.5909090909</v>
      </c>
      <c r="H10" s="4" t="s">
        <v>12</v>
      </c>
    </row>
    <row r="11">
      <c r="A11" s="3" t="s">
        <v>187</v>
      </c>
      <c r="B11" s="4" t="s">
        <v>175</v>
      </c>
      <c r="C11" s="4" t="s">
        <v>16</v>
      </c>
      <c r="D11" s="3" t="s">
        <v>189</v>
      </c>
      <c r="E11" s="4">
        <f t="shared" si="1"/>
        <v>155</v>
      </c>
      <c r="F11" s="4">
        <f t="shared" si="2"/>
        <v>200</v>
      </c>
      <c r="G11" s="4">
        <f t="shared" si="3"/>
        <v>0.775</v>
      </c>
      <c r="H11" s="4" t="s">
        <v>18</v>
      </c>
    </row>
    <row r="12">
      <c r="A12" s="3" t="s">
        <v>187</v>
      </c>
      <c r="B12" s="4" t="s">
        <v>178</v>
      </c>
      <c r="C12" s="4" t="s">
        <v>10</v>
      </c>
      <c r="D12" s="3" t="s">
        <v>190</v>
      </c>
      <c r="E12" s="4">
        <f t="shared" si="1"/>
        <v>7</v>
      </c>
      <c r="F12" s="4">
        <f t="shared" si="2"/>
        <v>200</v>
      </c>
      <c r="G12" s="4">
        <f t="shared" si="3"/>
        <v>0.035</v>
      </c>
      <c r="H12" s="4" t="s">
        <v>12</v>
      </c>
    </row>
    <row r="13">
      <c r="A13" s="3" t="s">
        <v>187</v>
      </c>
      <c r="B13" s="4" t="s">
        <v>178</v>
      </c>
      <c r="C13" s="4" t="s">
        <v>16</v>
      </c>
      <c r="D13" s="3" t="s">
        <v>191</v>
      </c>
      <c r="E13" s="4">
        <f t="shared" si="1"/>
        <v>38</v>
      </c>
      <c r="F13" s="4">
        <f t="shared" si="2"/>
        <v>200</v>
      </c>
      <c r="G13" s="4">
        <f t="shared" si="3"/>
        <v>0.19</v>
      </c>
      <c r="H13" s="4" t="s">
        <v>18</v>
      </c>
    </row>
    <row r="14">
      <c r="A14" s="3" t="s">
        <v>187</v>
      </c>
      <c r="B14" s="4" t="s">
        <v>181</v>
      </c>
      <c r="C14" s="4" t="s">
        <v>10</v>
      </c>
      <c r="D14" s="3" t="s">
        <v>192</v>
      </c>
      <c r="E14" s="4">
        <f t="shared" si="1"/>
        <v>80</v>
      </c>
      <c r="F14" s="4">
        <f t="shared" si="2"/>
        <v>200</v>
      </c>
      <c r="G14" s="4">
        <f t="shared" si="3"/>
        <v>0.4</v>
      </c>
      <c r="H14" s="4" t="s">
        <v>12</v>
      </c>
    </row>
    <row r="15">
      <c r="A15" s="3" t="s">
        <v>187</v>
      </c>
      <c r="B15" s="4" t="s">
        <v>181</v>
      </c>
      <c r="C15" s="4" t="s">
        <v>16</v>
      </c>
      <c r="D15" s="3" t="s">
        <v>193</v>
      </c>
      <c r="E15" s="4">
        <f t="shared" si="1"/>
        <v>120</v>
      </c>
      <c r="F15" s="4">
        <f t="shared" si="2"/>
        <v>200</v>
      </c>
      <c r="G15" s="4">
        <f t="shared" si="3"/>
        <v>0.6</v>
      </c>
      <c r="H15" s="4" t="s">
        <v>18</v>
      </c>
    </row>
    <row r="16">
      <c r="A16" s="3" t="s">
        <v>187</v>
      </c>
      <c r="B16" s="4" t="s">
        <v>194</v>
      </c>
      <c r="C16" s="4" t="s">
        <v>10</v>
      </c>
      <c r="D16" s="3" t="s">
        <v>195</v>
      </c>
      <c r="E16" s="4">
        <f t="shared" si="1"/>
        <v>204</v>
      </c>
      <c r="F16" s="4">
        <f t="shared" si="2"/>
        <v>598</v>
      </c>
      <c r="G16" s="4">
        <f t="shared" si="3"/>
        <v>0.3411371237</v>
      </c>
      <c r="H16" s="4" t="s">
        <v>12</v>
      </c>
    </row>
    <row r="17">
      <c r="A17" s="3" t="s">
        <v>187</v>
      </c>
      <c r="B17" s="4" t="s">
        <v>194</v>
      </c>
      <c r="C17" s="4" t="s">
        <v>16</v>
      </c>
      <c r="D17" s="3" t="s">
        <v>196</v>
      </c>
      <c r="E17" s="4">
        <f t="shared" si="1"/>
        <v>313</v>
      </c>
      <c r="F17" s="4">
        <f t="shared" si="2"/>
        <v>600</v>
      </c>
      <c r="G17" s="4">
        <f t="shared" si="3"/>
        <v>0.5216666667</v>
      </c>
      <c r="H17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41.43"/>
    <col customWidth="1" min="3" max="3" width="20.0"/>
    <col customWidth="1" min="4" max="5" width="20.43"/>
    <col customWidth="1" min="6" max="6" width="19.57"/>
    <col customWidth="1" min="7" max="7" width="16.57"/>
    <col customWidth="1" min="8" max="8" width="12.86"/>
    <col customWidth="1" min="9" max="27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197</v>
      </c>
      <c r="B2" s="4" t="s">
        <v>198</v>
      </c>
      <c r="C2" s="3" t="s">
        <v>10</v>
      </c>
      <c r="D2" s="3" t="s">
        <v>199</v>
      </c>
      <c r="E2" s="4">
        <f t="shared" ref="E2:E25" si="1">(LEN(D2)-LEN(SUBSTITUTE(D2,"True","")))/4</f>
        <v>14</v>
      </c>
      <c r="F2" s="3">
        <f t="shared" ref="F2:F25" si="2">LEN(D2)-LEN(SUBSTITUTE(D2,",",""))+1</f>
        <v>50</v>
      </c>
      <c r="G2" s="4">
        <f t="shared" ref="G2:G25" si="3">E2/F2</f>
        <v>0.28</v>
      </c>
      <c r="H2" s="4" t="s">
        <v>18</v>
      </c>
    </row>
    <row r="3">
      <c r="A3" s="3" t="s">
        <v>197</v>
      </c>
      <c r="B3" s="4" t="s">
        <v>198</v>
      </c>
      <c r="C3" s="3" t="s">
        <v>16</v>
      </c>
      <c r="D3" s="3" t="s">
        <v>200</v>
      </c>
      <c r="E3" s="4">
        <f t="shared" si="1"/>
        <v>9</v>
      </c>
      <c r="F3" s="3">
        <f t="shared" si="2"/>
        <v>50</v>
      </c>
      <c r="G3" s="4">
        <f t="shared" si="3"/>
        <v>0.18</v>
      </c>
      <c r="H3" s="4" t="s">
        <v>18</v>
      </c>
    </row>
    <row r="4">
      <c r="A4" s="3" t="s">
        <v>197</v>
      </c>
      <c r="B4" s="4" t="s">
        <v>201</v>
      </c>
      <c r="C4" s="3" t="s">
        <v>10</v>
      </c>
      <c r="D4" s="3" t="s">
        <v>202</v>
      </c>
      <c r="E4" s="4">
        <f t="shared" si="1"/>
        <v>4</v>
      </c>
      <c r="F4" s="3">
        <f t="shared" si="2"/>
        <v>50</v>
      </c>
      <c r="G4" s="4">
        <f t="shared" si="3"/>
        <v>0.08</v>
      </c>
      <c r="H4" s="4" t="s">
        <v>18</v>
      </c>
    </row>
    <row r="5">
      <c r="A5" s="3" t="s">
        <v>197</v>
      </c>
      <c r="B5" s="4" t="s">
        <v>201</v>
      </c>
      <c r="C5" s="3" t="s">
        <v>16</v>
      </c>
      <c r="D5" s="3" t="s">
        <v>203</v>
      </c>
      <c r="E5" s="4">
        <f t="shared" si="1"/>
        <v>3</v>
      </c>
      <c r="F5" s="3">
        <f t="shared" si="2"/>
        <v>50</v>
      </c>
      <c r="G5" s="4">
        <f t="shared" si="3"/>
        <v>0.06</v>
      </c>
      <c r="H5" s="4" t="s">
        <v>18</v>
      </c>
    </row>
    <row r="6">
      <c r="A6" s="3" t="s">
        <v>197</v>
      </c>
      <c r="B6" s="4" t="s">
        <v>204</v>
      </c>
      <c r="C6" s="3" t="s">
        <v>10</v>
      </c>
      <c r="D6" s="3" t="s">
        <v>205</v>
      </c>
      <c r="E6" s="4">
        <f t="shared" si="1"/>
        <v>7</v>
      </c>
      <c r="F6" s="3">
        <f t="shared" si="2"/>
        <v>50</v>
      </c>
      <c r="G6" s="4">
        <f t="shared" si="3"/>
        <v>0.14</v>
      </c>
      <c r="H6" s="4" t="s">
        <v>12</v>
      </c>
    </row>
    <row r="7">
      <c r="A7" s="3" t="s">
        <v>197</v>
      </c>
      <c r="B7" s="4" t="s">
        <v>204</v>
      </c>
      <c r="C7" s="3" t="s">
        <v>16</v>
      </c>
      <c r="D7" s="3" t="s">
        <v>206</v>
      </c>
      <c r="E7" s="4">
        <f t="shared" si="1"/>
        <v>22</v>
      </c>
      <c r="F7" s="3">
        <f t="shared" si="2"/>
        <v>50</v>
      </c>
      <c r="G7" s="4">
        <f t="shared" si="3"/>
        <v>0.44</v>
      </c>
      <c r="H7" s="4" t="s">
        <v>18</v>
      </c>
    </row>
    <row r="8">
      <c r="A8" s="3" t="s">
        <v>197</v>
      </c>
      <c r="B8" s="4" t="s">
        <v>207</v>
      </c>
      <c r="C8" s="3" t="s">
        <v>10</v>
      </c>
      <c r="D8" s="3" t="s">
        <v>208</v>
      </c>
      <c r="E8" s="4">
        <f t="shared" si="1"/>
        <v>4</v>
      </c>
      <c r="F8" s="3">
        <f t="shared" si="2"/>
        <v>50</v>
      </c>
      <c r="G8" s="4">
        <f t="shared" si="3"/>
        <v>0.08</v>
      </c>
      <c r="H8" s="4" t="s">
        <v>18</v>
      </c>
    </row>
    <row r="9">
      <c r="A9" s="3" t="s">
        <v>197</v>
      </c>
      <c r="B9" s="4" t="s">
        <v>207</v>
      </c>
      <c r="C9" s="3" t="s">
        <v>16</v>
      </c>
      <c r="D9" s="3" t="s">
        <v>209</v>
      </c>
      <c r="E9" s="4">
        <f t="shared" si="1"/>
        <v>9</v>
      </c>
      <c r="F9" s="3">
        <f t="shared" si="2"/>
        <v>50</v>
      </c>
      <c r="G9" s="4">
        <f t="shared" si="3"/>
        <v>0.18</v>
      </c>
      <c r="H9" s="4" t="s">
        <v>18</v>
      </c>
    </row>
    <row r="10">
      <c r="A10" s="3" t="s">
        <v>197</v>
      </c>
      <c r="B10" s="4" t="s">
        <v>210</v>
      </c>
      <c r="C10" s="3" t="s">
        <v>10</v>
      </c>
      <c r="D10" s="3" t="s">
        <v>117</v>
      </c>
      <c r="E10" s="4">
        <f t="shared" si="1"/>
        <v>0</v>
      </c>
      <c r="F10" s="3">
        <f t="shared" si="2"/>
        <v>50</v>
      </c>
      <c r="G10" s="4">
        <f t="shared" si="3"/>
        <v>0</v>
      </c>
      <c r="H10" s="4" t="s">
        <v>12</v>
      </c>
    </row>
    <row r="11">
      <c r="A11" s="3" t="s">
        <v>197</v>
      </c>
      <c r="B11" s="4" t="s">
        <v>210</v>
      </c>
      <c r="C11" s="3" t="s">
        <v>16</v>
      </c>
      <c r="D11" s="3" t="s">
        <v>211</v>
      </c>
      <c r="E11" s="4">
        <f t="shared" si="1"/>
        <v>19</v>
      </c>
      <c r="F11" s="3">
        <f t="shared" si="2"/>
        <v>50</v>
      </c>
      <c r="G11" s="4">
        <f t="shared" si="3"/>
        <v>0.38</v>
      </c>
      <c r="H11" s="4" t="s">
        <v>18</v>
      </c>
    </row>
    <row r="12">
      <c r="A12" s="3" t="s">
        <v>197</v>
      </c>
      <c r="B12" s="4" t="s">
        <v>27</v>
      </c>
      <c r="C12" s="3" t="s">
        <v>10</v>
      </c>
      <c r="D12" s="3" t="s">
        <v>212</v>
      </c>
      <c r="E12" s="4">
        <f t="shared" si="1"/>
        <v>29</v>
      </c>
      <c r="F12" s="3">
        <f t="shared" si="2"/>
        <v>250</v>
      </c>
      <c r="G12" s="4">
        <f t="shared" si="3"/>
        <v>0.116</v>
      </c>
      <c r="H12" s="4" t="s">
        <v>12</v>
      </c>
    </row>
    <row r="13">
      <c r="A13" s="3" t="s">
        <v>197</v>
      </c>
      <c r="B13" s="4" t="s">
        <v>27</v>
      </c>
      <c r="C13" s="3" t="s">
        <v>16</v>
      </c>
      <c r="D13" s="3" t="s">
        <v>213</v>
      </c>
      <c r="E13" s="4">
        <f t="shared" si="1"/>
        <v>62</v>
      </c>
      <c r="F13" s="3">
        <f t="shared" si="2"/>
        <v>250</v>
      </c>
      <c r="G13" s="4">
        <f t="shared" si="3"/>
        <v>0.248</v>
      </c>
      <c r="H13" s="4" t="s">
        <v>18</v>
      </c>
    </row>
    <row r="14">
      <c r="A14" s="3" t="s">
        <v>214</v>
      </c>
      <c r="B14" s="4" t="s">
        <v>215</v>
      </c>
      <c r="C14" s="3" t="s">
        <v>10</v>
      </c>
      <c r="D14" s="3" t="s">
        <v>216</v>
      </c>
      <c r="E14" s="4">
        <f t="shared" si="1"/>
        <v>14</v>
      </c>
      <c r="F14" s="3">
        <f t="shared" si="2"/>
        <v>200</v>
      </c>
      <c r="G14" s="4">
        <f t="shared" si="3"/>
        <v>0.07</v>
      </c>
      <c r="H14" s="4" t="s">
        <v>18</v>
      </c>
    </row>
    <row r="15">
      <c r="A15" s="3" t="s">
        <v>214</v>
      </c>
      <c r="B15" s="4" t="s">
        <v>215</v>
      </c>
      <c r="C15" s="3" t="s">
        <v>16</v>
      </c>
      <c r="D15" s="3" t="s">
        <v>217</v>
      </c>
      <c r="E15" s="4">
        <f t="shared" si="1"/>
        <v>20</v>
      </c>
      <c r="F15" s="3">
        <f t="shared" si="2"/>
        <v>200</v>
      </c>
      <c r="G15" s="4">
        <f t="shared" si="3"/>
        <v>0.1</v>
      </c>
      <c r="H15" s="4" t="s">
        <v>18</v>
      </c>
    </row>
    <row r="16">
      <c r="A16" s="3" t="s">
        <v>214</v>
      </c>
      <c r="B16" s="4" t="s">
        <v>218</v>
      </c>
      <c r="C16" s="3" t="s">
        <v>10</v>
      </c>
      <c r="D16" s="3" t="s">
        <v>219</v>
      </c>
      <c r="E16" s="4">
        <f t="shared" si="1"/>
        <v>25</v>
      </c>
      <c r="F16" s="3">
        <f t="shared" si="2"/>
        <v>199</v>
      </c>
      <c r="G16" s="4">
        <f t="shared" si="3"/>
        <v>0.1256281407</v>
      </c>
      <c r="H16" s="4" t="s">
        <v>12</v>
      </c>
    </row>
    <row r="17">
      <c r="A17" s="3" t="s">
        <v>214</v>
      </c>
      <c r="B17" s="4" t="s">
        <v>218</v>
      </c>
      <c r="C17" s="3" t="s">
        <v>16</v>
      </c>
      <c r="D17" s="3" t="s">
        <v>220</v>
      </c>
      <c r="E17" s="4">
        <f t="shared" si="1"/>
        <v>41</v>
      </c>
      <c r="F17" s="3">
        <f t="shared" si="2"/>
        <v>200</v>
      </c>
      <c r="G17" s="4">
        <f t="shared" si="3"/>
        <v>0.205</v>
      </c>
      <c r="H17" s="4" t="s">
        <v>18</v>
      </c>
    </row>
    <row r="18">
      <c r="A18" s="3" t="s">
        <v>214</v>
      </c>
      <c r="B18" s="4" t="s">
        <v>221</v>
      </c>
      <c r="C18" s="3" t="s">
        <v>10</v>
      </c>
      <c r="D18" s="3" t="s">
        <v>222</v>
      </c>
      <c r="E18" s="4">
        <f t="shared" si="1"/>
        <v>18</v>
      </c>
      <c r="F18" s="3">
        <f t="shared" si="2"/>
        <v>200</v>
      </c>
      <c r="G18" s="4">
        <f t="shared" si="3"/>
        <v>0.09</v>
      </c>
      <c r="H18" s="4" t="s">
        <v>12</v>
      </c>
    </row>
    <row r="19">
      <c r="A19" s="3" t="s">
        <v>214</v>
      </c>
      <c r="B19" s="4" t="s">
        <v>221</v>
      </c>
      <c r="C19" s="3" t="s">
        <v>16</v>
      </c>
      <c r="D19" s="3" t="s">
        <v>223</v>
      </c>
      <c r="E19" s="4">
        <f t="shared" si="1"/>
        <v>64</v>
      </c>
      <c r="F19" s="3">
        <f t="shared" si="2"/>
        <v>200</v>
      </c>
      <c r="G19" s="4">
        <f t="shared" si="3"/>
        <v>0.32</v>
      </c>
      <c r="H19" s="4" t="s">
        <v>18</v>
      </c>
    </row>
    <row r="20">
      <c r="A20" s="3" t="s">
        <v>214</v>
      </c>
      <c r="B20" s="4" t="s">
        <v>224</v>
      </c>
      <c r="C20" s="3" t="s">
        <v>10</v>
      </c>
      <c r="D20" s="3" t="s">
        <v>225</v>
      </c>
      <c r="E20" s="4">
        <f t="shared" si="1"/>
        <v>5</v>
      </c>
      <c r="F20" s="3">
        <f t="shared" si="2"/>
        <v>200</v>
      </c>
      <c r="G20" s="4">
        <f t="shared" si="3"/>
        <v>0.025</v>
      </c>
      <c r="H20" s="4" t="s">
        <v>12</v>
      </c>
    </row>
    <row r="21" ht="15.75" customHeight="1">
      <c r="A21" s="3" t="s">
        <v>214</v>
      </c>
      <c r="B21" s="4" t="s">
        <v>224</v>
      </c>
      <c r="C21" s="3" t="s">
        <v>16</v>
      </c>
      <c r="D21" s="3" t="s">
        <v>226</v>
      </c>
      <c r="E21" s="4">
        <f t="shared" si="1"/>
        <v>28</v>
      </c>
      <c r="F21" s="3">
        <f t="shared" si="2"/>
        <v>200</v>
      </c>
      <c r="G21" s="4">
        <f t="shared" si="3"/>
        <v>0.14</v>
      </c>
      <c r="H21" s="4" t="s">
        <v>18</v>
      </c>
    </row>
    <row r="22" ht="15.75" customHeight="1">
      <c r="A22" s="3" t="s">
        <v>214</v>
      </c>
      <c r="B22" s="4" t="s">
        <v>227</v>
      </c>
      <c r="C22" s="3" t="s">
        <v>10</v>
      </c>
      <c r="D22" s="3" t="s">
        <v>228</v>
      </c>
      <c r="E22" s="4">
        <f t="shared" si="1"/>
        <v>79</v>
      </c>
      <c r="F22" s="3">
        <f t="shared" si="2"/>
        <v>200</v>
      </c>
      <c r="G22" s="4">
        <f t="shared" si="3"/>
        <v>0.395</v>
      </c>
      <c r="H22" s="4" t="s">
        <v>18</v>
      </c>
    </row>
    <row r="23" ht="15.75" customHeight="1">
      <c r="A23" s="3" t="s">
        <v>214</v>
      </c>
      <c r="B23" s="4" t="s">
        <v>227</v>
      </c>
      <c r="C23" s="3" t="s">
        <v>16</v>
      </c>
      <c r="D23" s="3" t="s">
        <v>229</v>
      </c>
      <c r="E23" s="4">
        <f t="shared" si="1"/>
        <v>94</v>
      </c>
      <c r="F23" s="3">
        <f t="shared" si="2"/>
        <v>200</v>
      </c>
      <c r="G23" s="4">
        <f t="shared" si="3"/>
        <v>0.47</v>
      </c>
      <c r="H23" s="4" t="s">
        <v>18</v>
      </c>
    </row>
    <row r="24" ht="15.75" customHeight="1">
      <c r="A24" s="3" t="s">
        <v>214</v>
      </c>
      <c r="B24" s="4" t="s">
        <v>94</v>
      </c>
      <c r="C24" s="3" t="s">
        <v>10</v>
      </c>
      <c r="D24" s="3" t="s">
        <v>230</v>
      </c>
      <c r="E24" s="4">
        <f t="shared" si="1"/>
        <v>141</v>
      </c>
      <c r="F24" s="3">
        <f t="shared" si="2"/>
        <v>999</v>
      </c>
      <c r="G24" s="4">
        <f t="shared" si="3"/>
        <v>0.1411411411</v>
      </c>
      <c r="H24" s="4" t="s">
        <v>12</v>
      </c>
    </row>
    <row r="25" ht="15.75" customHeight="1">
      <c r="A25" s="3" t="s">
        <v>214</v>
      </c>
      <c r="B25" s="4" t="s">
        <v>94</v>
      </c>
      <c r="C25" s="3" t="s">
        <v>16</v>
      </c>
      <c r="D25" s="3" t="s">
        <v>231</v>
      </c>
      <c r="E25" s="4">
        <f t="shared" si="1"/>
        <v>247</v>
      </c>
      <c r="F25" s="3">
        <f t="shared" si="2"/>
        <v>1000</v>
      </c>
      <c r="G25" s="4">
        <f t="shared" si="3"/>
        <v>0.247</v>
      </c>
      <c r="H25" s="4" t="s">
        <v>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1.57"/>
    <col customWidth="1" min="3" max="3" width="22.0"/>
    <col customWidth="1" min="4" max="4" width="14.71"/>
    <col customWidth="1" min="5" max="6" width="19.0"/>
    <col customWidth="1" min="7" max="7" width="17.86"/>
    <col customWidth="1" min="8" max="8" width="15.0"/>
    <col customWidth="1" min="9" max="9" width="14.43"/>
    <col customWidth="1" min="10" max="27" width="8.86"/>
  </cols>
  <sheetData>
    <row r="1">
      <c r="A1" s="1" t="s">
        <v>0</v>
      </c>
      <c r="B1" s="1" t="s">
        <v>232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3" t="s">
        <v>233</v>
      </c>
      <c r="B2" s="4">
        <v>0.0</v>
      </c>
      <c r="C2" s="4" t="s">
        <v>234</v>
      </c>
      <c r="D2" s="4" t="s">
        <v>16</v>
      </c>
      <c r="E2" s="3" t="s">
        <v>235</v>
      </c>
      <c r="F2" s="4">
        <f t="shared" ref="F2:F8" si="1">(LEN(E2)-LEN(SUBSTITUTE(E2,"True","")))/4</f>
        <v>0</v>
      </c>
      <c r="G2" s="4">
        <f t="shared" ref="G2:G8" si="2">LEN(E2)-LEN(SUBSTITUTE(E2,",",""))+1</f>
        <v>1000</v>
      </c>
      <c r="H2" s="4">
        <f t="shared" ref="H2:H8" si="3">F2/G2</f>
        <v>0</v>
      </c>
      <c r="I2" s="4" t="s">
        <v>18</v>
      </c>
    </row>
    <row r="3">
      <c r="A3" s="3" t="s">
        <v>233</v>
      </c>
      <c r="B3" s="4">
        <v>0.15</v>
      </c>
      <c r="C3" s="4" t="s">
        <v>234</v>
      </c>
      <c r="D3" s="4" t="s">
        <v>10</v>
      </c>
      <c r="E3" s="3" t="s">
        <v>236</v>
      </c>
      <c r="F3" s="4">
        <f t="shared" si="1"/>
        <v>10</v>
      </c>
      <c r="G3" s="4">
        <f t="shared" si="2"/>
        <v>999</v>
      </c>
      <c r="H3" s="4">
        <f t="shared" si="3"/>
        <v>0.01001001001</v>
      </c>
      <c r="I3" s="4" t="s">
        <v>18</v>
      </c>
    </row>
    <row r="4">
      <c r="A4" s="3" t="s">
        <v>233</v>
      </c>
      <c r="B4" s="4">
        <v>0.15</v>
      </c>
      <c r="C4" s="4" t="s">
        <v>234</v>
      </c>
      <c r="D4" s="4" t="s">
        <v>16</v>
      </c>
      <c r="E4" s="3" t="s">
        <v>237</v>
      </c>
      <c r="F4" s="4">
        <f t="shared" si="1"/>
        <v>26</v>
      </c>
      <c r="G4" s="4">
        <f t="shared" si="2"/>
        <v>1000</v>
      </c>
      <c r="H4" s="4">
        <f t="shared" si="3"/>
        <v>0.026</v>
      </c>
      <c r="I4" s="4" t="s">
        <v>18</v>
      </c>
    </row>
    <row r="5">
      <c r="A5" s="3" t="s">
        <v>233</v>
      </c>
      <c r="B5" s="4">
        <v>0.5</v>
      </c>
      <c r="C5" s="4" t="s">
        <v>234</v>
      </c>
      <c r="D5" s="4" t="s">
        <v>10</v>
      </c>
      <c r="E5" s="3" t="s">
        <v>238</v>
      </c>
      <c r="F5" s="4">
        <f t="shared" si="1"/>
        <v>51</v>
      </c>
      <c r="G5" s="4">
        <f t="shared" si="2"/>
        <v>999</v>
      </c>
      <c r="H5" s="4">
        <f t="shared" si="3"/>
        <v>0.05105105105</v>
      </c>
      <c r="I5" s="4" t="s">
        <v>12</v>
      </c>
    </row>
    <row r="6">
      <c r="A6" s="3" t="s">
        <v>233</v>
      </c>
      <c r="B6" s="4">
        <v>0.5</v>
      </c>
      <c r="C6" s="4" t="s">
        <v>234</v>
      </c>
      <c r="D6" s="4" t="s">
        <v>16</v>
      </c>
      <c r="E6" s="3" t="s">
        <v>239</v>
      </c>
      <c r="F6" s="4">
        <f t="shared" si="1"/>
        <v>184</v>
      </c>
      <c r="G6" s="4">
        <f t="shared" si="2"/>
        <v>1000</v>
      </c>
      <c r="H6" s="4">
        <f t="shared" si="3"/>
        <v>0.184</v>
      </c>
      <c r="I6" s="4" t="s">
        <v>18</v>
      </c>
    </row>
    <row r="7">
      <c r="A7" s="3" t="s">
        <v>233</v>
      </c>
      <c r="B7" s="4">
        <v>1.0</v>
      </c>
      <c r="C7" s="4" t="s">
        <v>234</v>
      </c>
      <c r="D7" s="4" t="s">
        <v>10</v>
      </c>
      <c r="E7" s="3" t="s">
        <v>240</v>
      </c>
      <c r="F7" s="4">
        <f t="shared" si="1"/>
        <v>141</v>
      </c>
      <c r="G7" s="4">
        <f t="shared" si="2"/>
        <v>999</v>
      </c>
      <c r="H7" s="4">
        <f t="shared" si="3"/>
        <v>0.1411411411</v>
      </c>
      <c r="I7" s="4" t="s">
        <v>12</v>
      </c>
    </row>
    <row r="8">
      <c r="A8" s="3" t="s">
        <v>233</v>
      </c>
      <c r="B8" s="4">
        <v>1.0</v>
      </c>
      <c r="C8" s="4" t="s">
        <v>234</v>
      </c>
      <c r="D8" s="4" t="s">
        <v>16</v>
      </c>
      <c r="E8" s="3" t="s">
        <v>241</v>
      </c>
      <c r="F8" s="4">
        <f t="shared" si="1"/>
        <v>247</v>
      </c>
      <c r="G8" s="4">
        <f t="shared" si="2"/>
        <v>1000</v>
      </c>
      <c r="H8" s="4">
        <f t="shared" si="3"/>
        <v>0.247</v>
      </c>
      <c r="I8" s="4" t="s">
        <v>18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41.43"/>
    <col customWidth="1" min="3" max="3" width="26.86"/>
    <col customWidth="1" min="4" max="4" width="22.86"/>
    <col customWidth="1" min="5" max="5" width="20.86"/>
    <col customWidth="1" min="6" max="6" width="19.86"/>
    <col customWidth="1" min="7" max="7" width="16.43"/>
    <col customWidth="1" min="8" max="8" width="19.43"/>
    <col customWidth="1" min="9" max="9" width="13.0"/>
    <col customWidth="1" min="10" max="27" width="8.86"/>
  </cols>
  <sheetData>
    <row r="1">
      <c r="A1" s="1" t="s">
        <v>0</v>
      </c>
      <c r="B1" s="1" t="s">
        <v>1</v>
      </c>
      <c r="C1" s="1" t="s">
        <v>2</v>
      </c>
      <c r="D1" s="2" t="s">
        <v>242</v>
      </c>
      <c r="E1" s="2" t="s">
        <v>243</v>
      </c>
      <c r="F1" s="1" t="s">
        <v>244</v>
      </c>
      <c r="G1" s="1" t="s">
        <v>5</v>
      </c>
      <c r="H1" s="1" t="s">
        <v>245</v>
      </c>
      <c r="I1" s="6" t="s">
        <v>7</v>
      </c>
    </row>
    <row r="2">
      <c r="A2" s="3" t="s">
        <v>246</v>
      </c>
      <c r="B2" s="3" t="s">
        <v>198</v>
      </c>
      <c r="C2" s="3" t="s">
        <v>10</v>
      </c>
      <c r="D2" s="3" t="s">
        <v>247</v>
      </c>
      <c r="E2" s="7" t="s">
        <v>248</v>
      </c>
      <c r="F2" s="4">
        <f>IFERROR(__xludf.DUMMYFUNCTION("AVERAGE(ARRAYFORMULA(VALUE(TRIM(SPLIT(SUBSTITUTE(SUBSTITUTE(D2,""["",""""),""]"",""""),"","")))))"),0.6015384612)</f>
        <v>0.6015384612</v>
      </c>
      <c r="G2" s="4">
        <f t="shared" ref="G2:G25" si="1">LEN(D2)-LEN(SUBSTITUTE(D2,",",""))+1</f>
        <v>50</v>
      </c>
      <c r="H2" s="4">
        <f>IFERROR(__xludf.DUMMYFUNCTION("COUNTA(UNIQUE(ARRAYFORMULA(VALUE(TRIM(SPLIT(SUBSTITUTE(SUBSTITUTE(E2,""["",""""),""]"",""""),"","")))))) - 1"),13.0)</f>
        <v>13</v>
      </c>
      <c r="I2" s="3" t="s">
        <v>18</v>
      </c>
    </row>
    <row r="3">
      <c r="A3" s="3" t="s">
        <v>246</v>
      </c>
      <c r="B3" s="3" t="s">
        <v>198</v>
      </c>
      <c r="C3" s="3" t="s">
        <v>249</v>
      </c>
      <c r="D3" s="3" t="s">
        <v>250</v>
      </c>
      <c r="E3" s="3" t="s">
        <v>248</v>
      </c>
      <c r="F3" s="4">
        <f>IFERROR(__xludf.DUMMYFUNCTION("AVERAGE(ARRAYFORMULA(VALUE(TRIM(SPLIT(SUBSTITUTE(SUBSTITUTE(D3,""["",""""),""]"",""""),"","")))))"),0.5723076916)</f>
        <v>0.5723076916</v>
      </c>
      <c r="G3" s="4">
        <f t="shared" si="1"/>
        <v>50</v>
      </c>
      <c r="H3" s="4">
        <f>IFERROR(__xludf.DUMMYFUNCTION("COUNTA(UNIQUE(ARRAYFORMULA(VALUE(TRIM(SPLIT(SUBSTITUTE(SUBSTITUTE(E3,""["",""""),""]"",""""),"","")))))) - 1"),13.0)</f>
        <v>13</v>
      </c>
      <c r="I3" s="3" t="s">
        <v>18</v>
      </c>
    </row>
    <row r="4">
      <c r="A4" s="3" t="s">
        <v>246</v>
      </c>
      <c r="B4" s="3" t="s">
        <v>201</v>
      </c>
      <c r="C4" s="3" t="s">
        <v>10</v>
      </c>
      <c r="D4" s="3" t="s">
        <v>251</v>
      </c>
      <c r="E4" s="3" t="s">
        <v>252</v>
      </c>
      <c r="F4" s="4">
        <f>IFERROR(__xludf.DUMMYFUNCTION("AVERAGE(ARRAYFORMULA(VALUE(TRIM(SPLIT(SUBSTITUTE(SUBSTITUTE(D4,""["",""""),""]"",""""),"","")))))"),0.405714285)</f>
        <v>0.405714285</v>
      </c>
      <c r="G4" s="4">
        <f t="shared" si="1"/>
        <v>50</v>
      </c>
      <c r="H4" s="4">
        <f>IFERROR(__xludf.DUMMYFUNCTION("COUNTA(UNIQUE(ARRAYFORMULA(VALUE(TRIM(SPLIT(SUBSTITUTE(SUBSTITUTE(E4,""["",""""),""]"",""""),"","")))))) - 1"),7.0)</f>
        <v>7</v>
      </c>
      <c r="I4" s="3" t="s">
        <v>12</v>
      </c>
    </row>
    <row r="5">
      <c r="A5" s="3" t="s">
        <v>246</v>
      </c>
      <c r="B5" s="3" t="s">
        <v>201</v>
      </c>
      <c r="C5" s="3" t="s">
        <v>249</v>
      </c>
      <c r="D5" s="3" t="s">
        <v>253</v>
      </c>
      <c r="E5" s="3" t="s">
        <v>252</v>
      </c>
      <c r="F5" s="4">
        <f>IFERROR(__xludf.DUMMYFUNCTION("AVERAGE(ARRAYFORMULA(VALUE(TRIM(SPLIT(SUBSTITUTE(SUBSTITUTE(D5,""["",""""),""]"",""""),"","")))))"),0.6171428577999998)</f>
        <v>0.6171428578</v>
      </c>
      <c r="G5" s="4">
        <f t="shared" si="1"/>
        <v>50</v>
      </c>
      <c r="H5" s="4">
        <f>IFERROR(__xludf.DUMMYFUNCTION("COUNTA(UNIQUE(ARRAYFORMULA(VALUE(TRIM(SPLIT(SUBSTITUTE(SUBSTITUTE(E5,""["",""""),""]"",""""),"","")))))) - 1"),7.0)</f>
        <v>7</v>
      </c>
      <c r="I5" s="3" t="s">
        <v>18</v>
      </c>
    </row>
    <row r="6">
      <c r="A6" s="3" t="s">
        <v>246</v>
      </c>
      <c r="B6" s="8" t="s">
        <v>204</v>
      </c>
      <c r="C6" s="3" t="s">
        <v>10</v>
      </c>
      <c r="D6" s="3" t="s">
        <v>254</v>
      </c>
      <c r="E6" s="5" t="s">
        <v>252</v>
      </c>
      <c r="F6" s="4">
        <f>IFERROR(__xludf.DUMMYFUNCTION("AVERAGE(ARRAYFORMULA(VALUE(TRIM(SPLIT(SUBSTITUTE(SUBSTITUTE(D6,""["",""""),""]"",""""),"","")))))"),0.43714285719999985)</f>
        <v>0.4371428572</v>
      </c>
      <c r="G6" s="4">
        <f t="shared" si="1"/>
        <v>50</v>
      </c>
      <c r="H6" s="4">
        <f>IFERROR(__xludf.DUMMYFUNCTION("COUNTA(UNIQUE(ARRAYFORMULA(VALUE(TRIM(SPLIT(SUBSTITUTE(SUBSTITUTE(E6,""["",""""),""]"",""""),"","")))))) - 1"),7.0)</f>
        <v>7</v>
      </c>
      <c r="I6" s="3" t="s">
        <v>12</v>
      </c>
    </row>
    <row r="7">
      <c r="A7" s="3" t="s">
        <v>246</v>
      </c>
      <c r="B7" s="8" t="s">
        <v>204</v>
      </c>
      <c r="C7" s="3" t="s">
        <v>249</v>
      </c>
      <c r="D7" s="3" t="s">
        <v>255</v>
      </c>
      <c r="E7" s="3" t="s">
        <v>252</v>
      </c>
      <c r="F7" s="4">
        <f>IFERROR(__xludf.DUMMYFUNCTION("AVERAGE(ARRAYFORMULA(VALUE(TRIM(SPLIT(SUBSTITUTE(SUBSTITUTE(D7,""["",""""),""]"",""""),"","")))))"),0.8085714292)</f>
        <v>0.8085714292</v>
      </c>
      <c r="G7" s="4">
        <f t="shared" si="1"/>
        <v>50</v>
      </c>
      <c r="H7" s="4">
        <f>IFERROR(__xludf.DUMMYFUNCTION("COUNTA(UNIQUE(ARRAYFORMULA(VALUE(TRIM(SPLIT(SUBSTITUTE(SUBSTITUTE(E7,""["",""""),""]"",""""),"","")))))) - 1"),7.0)</f>
        <v>7</v>
      </c>
      <c r="I7" s="3" t="s">
        <v>18</v>
      </c>
    </row>
    <row r="8">
      <c r="A8" s="3" t="s">
        <v>246</v>
      </c>
      <c r="B8" s="3" t="s">
        <v>207</v>
      </c>
      <c r="C8" s="3" t="s">
        <v>10</v>
      </c>
      <c r="D8" s="3" t="s">
        <v>256</v>
      </c>
      <c r="E8" s="3" t="s">
        <v>257</v>
      </c>
      <c r="F8" s="4">
        <f>IFERROR(__xludf.DUMMYFUNCTION("AVERAGE(ARRAYFORMULA(VALUE(TRIM(SPLIT(SUBSTITUTE(SUBSTITUTE(D8,""["",""""),""]"",""""),"","")))))"),0.6128571439999999)</f>
        <v>0.612857144</v>
      </c>
      <c r="G8" s="4">
        <f t="shared" si="1"/>
        <v>50</v>
      </c>
      <c r="H8" s="4">
        <f>IFERROR(__xludf.DUMMYFUNCTION("COUNTA(UNIQUE(ARRAYFORMULA(VALUE(TRIM(SPLIT(SUBSTITUTE(SUBSTITUTE(E8,""["",""""),""]"",""""),"","")))))) - 1"),14.0)</f>
        <v>14</v>
      </c>
      <c r="I8" s="3" t="s">
        <v>12</v>
      </c>
    </row>
    <row r="9">
      <c r="A9" s="3" t="s">
        <v>246</v>
      </c>
      <c r="B9" s="3" t="s">
        <v>207</v>
      </c>
      <c r="C9" s="3" t="s">
        <v>249</v>
      </c>
      <c r="D9" s="3" t="s">
        <v>258</v>
      </c>
      <c r="E9" s="3" t="s">
        <v>257</v>
      </c>
      <c r="F9" s="4">
        <f>IFERROR(__xludf.DUMMYFUNCTION("AVERAGE(ARRAYFORMULA(VALUE(TRIM(SPLIT(SUBSTITUTE(SUBSTITUTE(D9,""["",""""),""]"",""""),"","")))))"),0.7800000015999999)</f>
        <v>0.7800000016</v>
      </c>
      <c r="G9" s="4">
        <f t="shared" si="1"/>
        <v>50</v>
      </c>
      <c r="H9" s="4">
        <f>IFERROR(__xludf.DUMMYFUNCTION("COUNTA(UNIQUE(ARRAYFORMULA(VALUE(TRIM(SPLIT(SUBSTITUTE(SUBSTITUTE(E9,""["",""""),""]"",""""),"","")))))) - 1"),14.0)</f>
        <v>14</v>
      </c>
      <c r="I9" s="3" t="s">
        <v>18</v>
      </c>
    </row>
    <row r="10">
      <c r="A10" s="3" t="s">
        <v>246</v>
      </c>
      <c r="B10" s="3" t="s">
        <v>210</v>
      </c>
      <c r="C10" s="3" t="s">
        <v>10</v>
      </c>
      <c r="D10" s="3" t="s">
        <v>259</v>
      </c>
      <c r="E10" s="3" t="s">
        <v>260</v>
      </c>
      <c r="F10" s="4">
        <f>IFERROR(__xludf.DUMMYFUNCTION("AVERAGE(ARRAYFORMULA(VALUE(TRIM(SPLIT(SUBSTITUTE(SUBSTITUTE(D10,""["",""""),""]"",""""),"","")))))"),0.4650000000000001)</f>
        <v>0.465</v>
      </c>
      <c r="G10" s="4">
        <f t="shared" si="1"/>
        <v>50</v>
      </c>
      <c r="H10" s="4">
        <f>IFERROR(__xludf.DUMMYFUNCTION("COUNTA(UNIQUE(ARRAYFORMULA(VALUE(TRIM(SPLIT(SUBSTITUTE(SUBSTITUTE(E10,""["",""""),""]"",""""),"","")))))) - 1"),12.0)</f>
        <v>12</v>
      </c>
      <c r="I10" s="3" t="s">
        <v>12</v>
      </c>
    </row>
    <row r="11">
      <c r="A11" s="3" t="s">
        <v>246</v>
      </c>
      <c r="B11" s="3" t="s">
        <v>210</v>
      </c>
      <c r="C11" s="3" t="s">
        <v>249</v>
      </c>
      <c r="D11" s="3" t="s">
        <v>261</v>
      </c>
      <c r="E11" s="3" t="s">
        <v>260</v>
      </c>
      <c r="F11" s="4">
        <f>IFERROR(__xludf.DUMMYFUNCTION("AVERAGE(ARRAYFORMULA(VALUE(TRIM(SPLIT(SUBSTITUTE(SUBSTITUTE(D11,""["",""""),""]"",""""),"","")))))"),0.8500000004)</f>
        <v>0.8500000004</v>
      </c>
      <c r="G11" s="4">
        <f t="shared" si="1"/>
        <v>50</v>
      </c>
      <c r="H11" s="4">
        <f>IFERROR(__xludf.DUMMYFUNCTION("COUNTA(UNIQUE(ARRAYFORMULA(VALUE(TRIM(SPLIT(SUBSTITUTE(SUBSTITUTE(E11,""["",""""),""]"",""""),"","")))))) - 1"),12.0)</f>
        <v>12</v>
      </c>
      <c r="I11" s="3" t="s">
        <v>18</v>
      </c>
    </row>
    <row r="12">
      <c r="A12" s="3" t="s">
        <v>246</v>
      </c>
      <c r="B12" s="3" t="s">
        <v>27</v>
      </c>
      <c r="C12" s="3" t="s">
        <v>10</v>
      </c>
      <c r="D12" s="3" t="s">
        <v>262</v>
      </c>
      <c r="E12" s="3" t="s">
        <v>263</v>
      </c>
      <c r="F12" s="4">
        <f>IFERROR(__xludf.DUMMYFUNCTION("AVERAGE(ARRAYFORMULA(VALUE(TRIM(SPLIT(SUBSTITUTE(SUBSTITUTE(D12,""["",""""),""]"",""""),"","")))))"),0.5044505494799997)</f>
        <v>0.5044505495</v>
      </c>
      <c r="G12" s="4">
        <f t="shared" si="1"/>
        <v>250</v>
      </c>
      <c r="H12" s="4">
        <f>IFERROR(__xludf.DUMMYFUNCTION("COUNTA(UNIQUE(ARRAYFORMULA(VALUE(TRIM(SPLIT(SUBSTITUTE(SUBSTITUTE(E12,""["",""""),""]"",""""),"","")))))) - 1"),36.0)</f>
        <v>36</v>
      </c>
      <c r="I12" s="3" t="s">
        <v>12</v>
      </c>
    </row>
    <row r="13">
      <c r="A13" s="3" t="s">
        <v>246</v>
      </c>
      <c r="B13" s="3" t="s">
        <v>27</v>
      </c>
      <c r="C13" s="3" t="s">
        <v>249</v>
      </c>
      <c r="D13" s="3" t="s">
        <v>264</v>
      </c>
      <c r="E13" s="3" t="s">
        <v>263</v>
      </c>
      <c r="F13" s="4">
        <f>IFERROR(__xludf.DUMMYFUNCTION("AVERAGE(ARRAYFORMULA(VALUE(TRIM(SPLIT(SUBSTITUTE(SUBSTITUTE(D13,""["",""""),""]"",""""),"","")))))"),0.7256043961200003)</f>
        <v>0.7256043961</v>
      </c>
      <c r="G13" s="4">
        <f t="shared" si="1"/>
        <v>250</v>
      </c>
      <c r="H13" s="4">
        <f>IFERROR(__xludf.DUMMYFUNCTION("COUNTA(UNIQUE(ARRAYFORMULA(VALUE(TRIM(SPLIT(SUBSTITUTE(SUBSTITUTE(E13,""["",""""),""]"",""""),"","")))))) - 1"),36.0)</f>
        <v>36</v>
      </c>
      <c r="I13" s="3" t="s">
        <v>18</v>
      </c>
    </row>
    <row r="14">
      <c r="A14" s="3" t="s">
        <v>265</v>
      </c>
      <c r="B14" s="4" t="s">
        <v>215</v>
      </c>
      <c r="C14" s="3" t="s">
        <v>10</v>
      </c>
      <c r="D14" s="3" t="s">
        <v>266</v>
      </c>
      <c r="E14" s="3" t="s">
        <v>267</v>
      </c>
      <c r="F14" s="4">
        <f>IFERROR(__xludf.DUMMYFUNCTION("AVERAGE(ARRAYFORMULA(VALUE(TRIM(SPLIT(SUBSTITUTE(SUBSTITUTE(D14,""["",""""),""]"",""""),"","")))))"),0.343125)</f>
        <v>0.343125</v>
      </c>
      <c r="G14" s="4">
        <f t="shared" si="1"/>
        <v>200</v>
      </c>
      <c r="H14" s="4">
        <f>IFERROR(__xludf.DUMMYFUNCTION("COUNTA(UNIQUE(ARRAYFORMULA(VALUE(TRIM(SPLIT(SUBSTITUTE(SUBSTITUTE(E14,""["",""""),""]"",""""),"","")))))) - 1"),8.0)</f>
        <v>8</v>
      </c>
      <c r="I14" s="3" t="s">
        <v>12</v>
      </c>
    </row>
    <row r="15">
      <c r="A15" s="3" t="s">
        <v>265</v>
      </c>
      <c r="B15" s="4" t="s">
        <v>215</v>
      </c>
      <c r="C15" s="3" t="s">
        <v>249</v>
      </c>
      <c r="D15" s="3" t="s">
        <v>268</v>
      </c>
      <c r="E15" s="3" t="s">
        <v>267</v>
      </c>
      <c r="F15" s="4">
        <f>IFERROR(__xludf.DUMMYFUNCTION("AVERAGE(ARRAYFORMULA(VALUE(TRIM(SPLIT(SUBSTITUTE(SUBSTITUTE(D15,""["",""""),""]"",""""),"","")))))"),0.494375)</f>
        <v>0.494375</v>
      </c>
      <c r="G15" s="4">
        <f t="shared" si="1"/>
        <v>200</v>
      </c>
      <c r="H15" s="4">
        <f>IFERROR(__xludf.DUMMYFUNCTION("COUNTA(UNIQUE(ARRAYFORMULA(VALUE(TRIM(SPLIT(SUBSTITUTE(SUBSTITUTE(E15,""["",""""),""]"",""""),"","")))))) - 1"),8.0)</f>
        <v>8</v>
      </c>
      <c r="I15" s="3" t="s">
        <v>18</v>
      </c>
    </row>
    <row r="16">
      <c r="A16" s="3" t="s">
        <v>265</v>
      </c>
      <c r="B16" s="4" t="s">
        <v>218</v>
      </c>
      <c r="C16" s="3" t="s">
        <v>10</v>
      </c>
      <c r="D16" s="3" t="s">
        <v>269</v>
      </c>
      <c r="E16" s="3" t="s">
        <v>270</v>
      </c>
      <c r="F16" s="4">
        <f>IFERROR(__xludf.DUMMYFUNCTION("AVERAGE(ARRAYFORMULA(VALUE(TRIM(SPLIT(SUBSTITUTE(SUBSTITUTE(D16,""["",""""),""]"",""""),"","")))))"),0.46733668341708556)</f>
        <v>0.4673366834</v>
      </c>
      <c r="G16" s="4">
        <f t="shared" si="1"/>
        <v>199</v>
      </c>
      <c r="H16" s="4">
        <f>IFERROR(__xludf.DUMMYFUNCTION("COUNTA(UNIQUE(ARRAYFORMULA(VALUE(TRIM(SPLIT(SUBSTITUTE(SUBSTITUTE(E16,""["",""""),""]"",""""),"","")))))) - 1"),5.0)</f>
        <v>5</v>
      </c>
      <c r="I16" s="3" t="s">
        <v>12</v>
      </c>
    </row>
    <row r="17">
      <c r="A17" s="3" t="s">
        <v>265</v>
      </c>
      <c r="B17" s="4" t="s">
        <v>218</v>
      </c>
      <c r="C17" s="3" t="s">
        <v>249</v>
      </c>
      <c r="D17" s="3" t="s">
        <v>271</v>
      </c>
      <c r="E17" s="3" t="s">
        <v>270</v>
      </c>
      <c r="F17" s="4">
        <f>IFERROR(__xludf.DUMMYFUNCTION("AVERAGE(ARRAYFORMULA(VALUE(TRIM(SPLIT(SUBSTITUTE(SUBSTITUTE(D17,""["",""""),""]"",""""),"","")))))"),0.5670000000000001)</f>
        <v>0.567</v>
      </c>
      <c r="G17" s="4">
        <f t="shared" si="1"/>
        <v>200</v>
      </c>
      <c r="H17" s="4">
        <f>IFERROR(__xludf.DUMMYFUNCTION("COUNTA(UNIQUE(ARRAYFORMULA(VALUE(TRIM(SPLIT(SUBSTITUTE(SUBSTITUTE(E17,""["",""""),""]"",""""),"","")))))) - 1"),5.0)</f>
        <v>5</v>
      </c>
      <c r="I17" s="3" t="s">
        <v>18</v>
      </c>
    </row>
    <row r="18">
      <c r="A18" s="3" t="s">
        <v>265</v>
      </c>
      <c r="B18" s="4" t="s">
        <v>221</v>
      </c>
      <c r="C18" s="3" t="s">
        <v>10</v>
      </c>
      <c r="D18" s="3" t="s">
        <v>272</v>
      </c>
      <c r="E18" s="3" t="s">
        <v>273</v>
      </c>
      <c r="F18" s="4">
        <f>IFERROR(__xludf.DUMMYFUNCTION("AVERAGE(ARRAYFORMULA(VALUE(TRIM(SPLIT(SUBSTITUTE(SUBSTITUTE(D18,""["",""""),""]"",""""),"","")))))"),0.30875)</f>
        <v>0.30875</v>
      </c>
      <c r="G18" s="4">
        <f t="shared" si="1"/>
        <v>200</v>
      </c>
      <c r="H18" s="4">
        <f>IFERROR(__xludf.DUMMYFUNCTION("COUNTA(UNIQUE(ARRAYFORMULA(VALUE(TRIM(SPLIT(SUBSTITUTE(SUBSTITUTE(E18,""["",""""),""]"",""""),"","")))))) - 1"),4.0)</f>
        <v>4</v>
      </c>
      <c r="I18" s="3" t="s">
        <v>12</v>
      </c>
    </row>
    <row r="19">
      <c r="A19" s="3" t="s">
        <v>265</v>
      </c>
      <c r="B19" s="4" t="s">
        <v>221</v>
      </c>
      <c r="C19" s="3" t="s">
        <v>249</v>
      </c>
      <c r="D19" s="3" t="s">
        <v>274</v>
      </c>
      <c r="E19" s="3" t="s">
        <v>273</v>
      </c>
      <c r="F19" s="4">
        <f>IFERROR(__xludf.DUMMYFUNCTION("AVERAGE(ARRAYFORMULA(VALUE(TRIM(SPLIT(SUBSTITUTE(SUBSTITUTE(D19,""["",""""),""]"",""""),"","")))))"),0.6475)</f>
        <v>0.6475</v>
      </c>
      <c r="G19" s="4">
        <f t="shared" si="1"/>
        <v>200</v>
      </c>
      <c r="H19" s="4">
        <f>IFERROR(__xludf.DUMMYFUNCTION("COUNTA(UNIQUE(ARRAYFORMULA(VALUE(TRIM(SPLIT(SUBSTITUTE(SUBSTITUTE(E19,""["",""""),""]"",""""),"","")))))) - 1"),4.0)</f>
        <v>4</v>
      </c>
      <c r="I19" s="3" t="s">
        <v>18</v>
      </c>
    </row>
    <row r="20">
      <c r="A20" s="3" t="s">
        <v>265</v>
      </c>
      <c r="B20" s="4" t="s">
        <v>224</v>
      </c>
      <c r="C20" s="3" t="s">
        <v>10</v>
      </c>
      <c r="D20" s="3" t="s">
        <v>275</v>
      </c>
      <c r="E20" s="3" t="s">
        <v>270</v>
      </c>
      <c r="F20" s="4">
        <f>IFERROR(__xludf.DUMMYFUNCTION("AVERAGE(ARRAYFORMULA(VALUE(TRIM(SPLIT(SUBSTITUTE(SUBSTITUTE(D20,""["",""""),""]"",""""),"","")))))"),0.32700000000000023)</f>
        <v>0.327</v>
      </c>
      <c r="G20" s="4">
        <f t="shared" si="1"/>
        <v>200</v>
      </c>
      <c r="H20" s="4">
        <f>IFERROR(__xludf.DUMMYFUNCTION("COUNTA(UNIQUE(ARRAYFORMULA(VALUE(TRIM(SPLIT(SUBSTITUTE(SUBSTITUTE(E20,""["",""""),""]"",""""),"","")))))) - 1"),5.0)</f>
        <v>5</v>
      </c>
      <c r="I20" s="3" t="s">
        <v>12</v>
      </c>
    </row>
    <row r="21">
      <c r="A21" s="3" t="s">
        <v>265</v>
      </c>
      <c r="B21" s="4" t="s">
        <v>224</v>
      </c>
      <c r="C21" s="3" t="s">
        <v>249</v>
      </c>
      <c r="D21" s="3" t="s">
        <v>276</v>
      </c>
      <c r="E21" s="3" t="s">
        <v>270</v>
      </c>
      <c r="F21" s="4">
        <f>IFERROR(__xludf.DUMMYFUNCTION("AVERAGE(ARRAYFORMULA(VALUE(TRIM(SPLIT(SUBSTITUTE(SUBSTITUTE(D21,""["",""""),""]"",""""),"","")))))"),0.5320000000000005)</f>
        <v>0.532</v>
      </c>
      <c r="G21" s="4">
        <f t="shared" si="1"/>
        <v>200</v>
      </c>
      <c r="H21" s="4">
        <f>IFERROR(__xludf.DUMMYFUNCTION("COUNTA(UNIQUE(ARRAYFORMULA(VALUE(TRIM(SPLIT(SUBSTITUTE(SUBSTITUTE(E21,""["",""""),""]"",""""),"","")))))) - 1"),5.0)</f>
        <v>5</v>
      </c>
      <c r="I21" s="3" t="s">
        <v>18</v>
      </c>
    </row>
    <row r="22">
      <c r="A22" s="3" t="s">
        <v>265</v>
      </c>
      <c r="B22" s="4" t="s">
        <v>227</v>
      </c>
      <c r="C22" s="3" t="s">
        <v>10</v>
      </c>
      <c r="D22" s="3" t="s">
        <v>277</v>
      </c>
      <c r="E22" s="3" t="s">
        <v>278</v>
      </c>
      <c r="F22" s="4">
        <f>IFERROR(__xludf.DUMMYFUNCTION("AVERAGE(ARRAYFORMULA(VALUE(TRIM(SPLIT(SUBSTITUTE(SUBSTITUTE(D22,""["",""""),""]"",""""),"","")))))"),0.6175)</f>
        <v>0.6175</v>
      </c>
      <c r="G22" s="4">
        <f t="shared" si="1"/>
        <v>200</v>
      </c>
      <c r="H22" s="4">
        <f>IFERROR(__xludf.DUMMYFUNCTION("COUNTA(UNIQUE(ARRAYFORMULA(VALUE(TRIM(SPLIT(SUBSTITUTE(SUBSTITUTE(E22,""["",""""),""]"",""""),"","")))))) - 1"),6.0)</f>
        <v>6</v>
      </c>
      <c r="I22" s="3" t="s">
        <v>18</v>
      </c>
    </row>
    <row r="23" ht="15.75" customHeight="1">
      <c r="A23" s="3" t="s">
        <v>265</v>
      </c>
      <c r="B23" s="4" t="s">
        <v>227</v>
      </c>
      <c r="C23" s="3" t="s">
        <v>249</v>
      </c>
      <c r="D23" s="3" t="s">
        <v>279</v>
      </c>
      <c r="E23" s="3" t="s">
        <v>278</v>
      </c>
      <c r="F23" s="4">
        <f>IFERROR(__xludf.DUMMYFUNCTION("AVERAGE(ARRAYFORMULA(VALUE(TRIM(SPLIT(SUBSTITUTE(SUBSTITUTE(D23,""["",""""),""]"",""""),"","")))))"),0.6591666664000002)</f>
        <v>0.6591666664</v>
      </c>
      <c r="G23" s="4">
        <f t="shared" si="1"/>
        <v>200</v>
      </c>
      <c r="H23" s="4">
        <f>IFERROR(__xludf.DUMMYFUNCTION("COUNTA(UNIQUE(ARRAYFORMULA(VALUE(TRIM(SPLIT(SUBSTITUTE(SUBSTITUTE(E23,""["",""""),""]"",""""),"","")))))) - 1"),6.0)</f>
        <v>6</v>
      </c>
      <c r="I23" s="3" t="s">
        <v>18</v>
      </c>
    </row>
    <row r="24" ht="15.75" customHeight="1">
      <c r="A24" s="3" t="s">
        <v>265</v>
      </c>
      <c r="B24" s="3" t="s">
        <v>94</v>
      </c>
      <c r="C24" s="3" t="s">
        <v>10</v>
      </c>
      <c r="D24" s="3" t="s">
        <v>280</v>
      </c>
      <c r="E24" s="3" t="s">
        <v>281</v>
      </c>
      <c r="F24" s="4">
        <f>IFERROR(__xludf.DUMMYFUNCTION("AVERAGE(ARRAYFORMULA(VALUE(TRIM(SPLIT(SUBSTITUTE(SUBSTITUTE(D24,""["",""""),""]"",""""),"","")))))"),0.4126876876876867)</f>
        <v>0.4126876877</v>
      </c>
      <c r="G24" s="4">
        <f t="shared" si="1"/>
        <v>999</v>
      </c>
      <c r="H24" s="4">
        <f>IFERROR(__xludf.DUMMYFUNCTION("COUNTA(UNIQUE(ARRAYFORMULA(VALUE(TRIM(SPLIT(SUBSTITUTE(SUBSTITUTE(E24,""["",""""),""]"",""""),"","")))))) - 1"),16.0)</f>
        <v>16</v>
      </c>
      <c r="I24" s="3" t="s">
        <v>12</v>
      </c>
    </row>
    <row r="25" ht="15.75" customHeight="1">
      <c r="A25" s="3" t="s">
        <v>265</v>
      </c>
      <c r="B25" s="3" t="s">
        <v>94</v>
      </c>
      <c r="C25" s="3" t="s">
        <v>249</v>
      </c>
      <c r="D25" s="3" t="s">
        <v>282</v>
      </c>
      <c r="E25" s="3" t="s">
        <v>281</v>
      </c>
      <c r="F25" s="4">
        <f>IFERROR(__xludf.DUMMYFUNCTION("AVERAGE(ARRAYFORMULA(VALUE(TRIM(SPLIT(SUBSTITUTE(SUBSTITUTE(D25,""["",""""),""]"",""""),"","")))))"),0.5800083332799998)</f>
        <v>0.5800083333</v>
      </c>
      <c r="G25" s="4">
        <f t="shared" si="1"/>
        <v>1000</v>
      </c>
      <c r="H25" s="4">
        <f>IFERROR(__xludf.DUMMYFUNCTION("COUNTA(UNIQUE(ARRAYFORMULA(VALUE(TRIM(SPLIT(SUBSTITUTE(SUBSTITUTE(E25,""["",""""),""]"",""""),"","")))))) - 1"),16.0)</f>
        <v>16</v>
      </c>
      <c r="I25" s="3" t="s">
        <v>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1.57"/>
    <col customWidth="1" min="3" max="3" width="22.0"/>
    <col customWidth="1" min="4" max="4" width="14.71"/>
    <col customWidth="1" min="5" max="5" width="23.71"/>
    <col customWidth="1" min="6" max="6" width="20.86"/>
    <col customWidth="1" min="7" max="7" width="20.14"/>
    <col customWidth="1" min="8" max="8" width="15.57"/>
    <col customWidth="1" min="9" max="9" width="17.86"/>
    <col customWidth="1" min="10" max="10" width="11.71"/>
    <col customWidth="1" min="11" max="27" width="8.86"/>
  </cols>
  <sheetData>
    <row r="1">
      <c r="A1" s="1" t="s">
        <v>0</v>
      </c>
      <c r="B1" s="1" t="s">
        <v>232</v>
      </c>
      <c r="C1" s="1" t="s">
        <v>1</v>
      </c>
      <c r="D1" s="1" t="s">
        <v>2</v>
      </c>
      <c r="E1" s="2" t="s">
        <v>242</v>
      </c>
      <c r="F1" s="2" t="s">
        <v>243</v>
      </c>
      <c r="G1" s="1" t="s">
        <v>244</v>
      </c>
      <c r="H1" s="1" t="s">
        <v>5</v>
      </c>
      <c r="I1" s="1" t="s">
        <v>245</v>
      </c>
      <c r="J1" s="6" t="s">
        <v>7</v>
      </c>
    </row>
    <row r="2">
      <c r="A2" s="3" t="s">
        <v>283</v>
      </c>
      <c r="B2" s="4">
        <v>0.0</v>
      </c>
      <c r="C2" s="4" t="s">
        <v>234</v>
      </c>
      <c r="D2" s="4" t="s">
        <v>16</v>
      </c>
      <c r="E2" s="3" t="s">
        <v>284</v>
      </c>
      <c r="F2" s="3" t="s">
        <v>281</v>
      </c>
      <c r="G2" s="4">
        <f>IFERROR(__xludf.DUMMYFUNCTION("AVERAGE(ARRAYFORMULA(VALUE(TRIM(SPLIT(SUBSTITUTE(SUBSTITUTE(E2,""["",""""),""]"",""""),"","")))))"),0.06134166687999991)</f>
        <v>0.06134166688</v>
      </c>
      <c r="H2" s="4">
        <f t="shared" ref="H2:H8" si="1">LEN(E2)-LEN(SUBSTITUTE(E2,",",""))+1</f>
        <v>1000</v>
      </c>
      <c r="I2" s="4">
        <f>IFERROR(__xludf.DUMMYFUNCTION("COUNTA(UNIQUE(ARRAYFORMULA(VALUE(TRIM(SPLIT(SUBSTITUTE(SUBSTITUTE(F2,""["",""""),""]"",""""),"","")))))) - 1"),16.0)</f>
        <v>16</v>
      </c>
      <c r="J2" s="3" t="s">
        <v>18</v>
      </c>
    </row>
    <row r="3">
      <c r="A3" s="3" t="s">
        <v>283</v>
      </c>
      <c r="B3" s="4">
        <v>0.15</v>
      </c>
      <c r="C3" s="4" t="s">
        <v>234</v>
      </c>
      <c r="D3" s="4" t="s">
        <v>10</v>
      </c>
      <c r="E3" s="3" t="s">
        <v>285</v>
      </c>
      <c r="F3" s="3" t="s">
        <v>281</v>
      </c>
      <c r="G3" s="4">
        <f>IFERROR(__xludf.DUMMYFUNCTION("AVERAGE(ARRAYFORMULA(VALUE(TRIM(SPLIT(SUBSTITUTE(SUBSTITUTE(E3,""["",""""),""]"",""""),"","")))))"),0.13743743748748777)</f>
        <v>0.1374374375</v>
      </c>
      <c r="H3" s="4">
        <f t="shared" si="1"/>
        <v>999</v>
      </c>
      <c r="I3" s="4">
        <f>IFERROR(__xludf.DUMMYFUNCTION("COUNTA(UNIQUE(ARRAYFORMULA(VALUE(TRIM(SPLIT(SUBSTITUTE(SUBSTITUTE(F3,""["",""""),""]"",""""),"","")))))) - 1"),16.0)</f>
        <v>16</v>
      </c>
      <c r="J3" s="3" t="s">
        <v>12</v>
      </c>
    </row>
    <row r="4">
      <c r="A4" s="3" t="s">
        <v>283</v>
      </c>
      <c r="B4" s="4">
        <v>0.15</v>
      </c>
      <c r="C4" s="4" t="s">
        <v>234</v>
      </c>
      <c r="D4" s="4" t="s">
        <v>16</v>
      </c>
      <c r="E4" s="3" t="s">
        <v>286</v>
      </c>
      <c r="F4" s="3" t="s">
        <v>281</v>
      </c>
      <c r="G4" s="4">
        <f>IFERROR(__xludf.DUMMYFUNCTION("AVERAGE(ARRAYFORMULA(VALUE(TRIM(SPLIT(SUBSTITUTE(SUBSTITUTE(E4,""["",""""),""]"",""""),"","")))))"),0.2878583333099998)</f>
        <v>0.2878583333</v>
      </c>
      <c r="H4" s="4">
        <f t="shared" si="1"/>
        <v>1000</v>
      </c>
      <c r="I4" s="4">
        <f>IFERROR(__xludf.DUMMYFUNCTION("COUNTA(UNIQUE(ARRAYFORMULA(VALUE(TRIM(SPLIT(SUBSTITUTE(SUBSTITUTE(F4,""["",""""),""]"",""""),"","")))))) - 1"),16.0)</f>
        <v>16</v>
      </c>
      <c r="J4" s="3" t="s">
        <v>18</v>
      </c>
    </row>
    <row r="5">
      <c r="A5" s="3" t="s">
        <v>283</v>
      </c>
      <c r="B5" s="4">
        <v>0.5</v>
      </c>
      <c r="C5" s="4" t="s">
        <v>234</v>
      </c>
      <c r="D5" s="4" t="s">
        <v>10</v>
      </c>
      <c r="E5" s="3" t="s">
        <v>287</v>
      </c>
      <c r="F5" s="3" t="s">
        <v>281</v>
      </c>
      <c r="G5" s="4">
        <f>IFERROR(__xludf.DUMMYFUNCTION("AVERAGE(ARRAYFORMULA(VALUE(TRIM(SPLIT(SUBSTITUTE(SUBSTITUTE(E5,""["",""""),""]"",""""),"","")))))"),0.27934601268268205)</f>
        <v>0.2793460127</v>
      </c>
      <c r="H5" s="4">
        <f t="shared" si="1"/>
        <v>999</v>
      </c>
      <c r="I5" s="4">
        <f>IFERROR(__xludf.DUMMYFUNCTION("COUNTA(UNIQUE(ARRAYFORMULA(VALUE(TRIM(SPLIT(SUBSTITUTE(SUBSTITUTE(F5,""["",""""),""]"",""""),"","")))))) - 1"),16.0)</f>
        <v>16</v>
      </c>
      <c r="J5" s="3" t="s">
        <v>12</v>
      </c>
    </row>
    <row r="6">
      <c r="A6" s="3" t="s">
        <v>283</v>
      </c>
      <c r="B6" s="4">
        <v>0.5</v>
      </c>
      <c r="C6" s="4" t="s">
        <v>234</v>
      </c>
      <c r="D6" s="4" t="s">
        <v>16</v>
      </c>
      <c r="E6" s="3" t="s">
        <v>288</v>
      </c>
      <c r="F6" s="3" t="s">
        <v>281</v>
      </c>
      <c r="G6" s="4">
        <f>IFERROR(__xludf.DUMMYFUNCTION("AVERAGE(ARRAYFORMULA(VALUE(TRIM(SPLIT(SUBSTITUTE(SUBSTITUTE(E6,""["",""""),""]"",""""),"","")))))"),0.5134249999399993)</f>
        <v>0.5134249999</v>
      </c>
      <c r="H6" s="4">
        <f t="shared" si="1"/>
        <v>1000</v>
      </c>
      <c r="I6" s="4">
        <f>IFERROR(__xludf.DUMMYFUNCTION("COUNTA(UNIQUE(ARRAYFORMULA(VALUE(TRIM(SPLIT(SUBSTITUTE(SUBSTITUTE(F6,""["",""""),""]"",""""),"","")))))) - 1"),16.0)</f>
        <v>16</v>
      </c>
      <c r="J6" s="3" t="s">
        <v>18</v>
      </c>
    </row>
    <row r="7">
      <c r="A7" s="3" t="s">
        <v>283</v>
      </c>
      <c r="B7" s="4">
        <v>1.0</v>
      </c>
      <c r="C7" s="4" t="s">
        <v>234</v>
      </c>
      <c r="D7" s="4" t="s">
        <v>10</v>
      </c>
      <c r="E7" s="3" t="s">
        <v>280</v>
      </c>
      <c r="F7" s="3" t="s">
        <v>281</v>
      </c>
      <c r="G7" s="4">
        <f>IFERROR(__xludf.DUMMYFUNCTION("AVERAGE(ARRAYFORMULA(VALUE(TRIM(SPLIT(SUBSTITUTE(SUBSTITUTE(E7,""["",""""),""]"",""""),"","")))))"),0.4126876876876867)</f>
        <v>0.4126876877</v>
      </c>
      <c r="H7" s="4">
        <f t="shared" si="1"/>
        <v>999</v>
      </c>
      <c r="I7" s="4">
        <f>IFERROR(__xludf.DUMMYFUNCTION("COUNTA(UNIQUE(ARRAYFORMULA(VALUE(TRIM(SPLIT(SUBSTITUTE(SUBSTITUTE(F7,""["",""""),""]"",""""),"","")))))) - 1"),16.0)</f>
        <v>16</v>
      </c>
      <c r="J7" s="3" t="s">
        <v>12</v>
      </c>
    </row>
    <row r="8">
      <c r="A8" s="3" t="s">
        <v>283</v>
      </c>
      <c r="B8" s="4">
        <v>1.0</v>
      </c>
      <c r="C8" s="4" t="s">
        <v>234</v>
      </c>
      <c r="D8" s="4" t="s">
        <v>16</v>
      </c>
      <c r="E8" s="3" t="s">
        <v>282</v>
      </c>
      <c r="F8" s="3" t="s">
        <v>281</v>
      </c>
      <c r="G8" s="4">
        <f>IFERROR(__xludf.DUMMYFUNCTION("AVERAGE(ARRAYFORMULA(VALUE(TRIM(SPLIT(SUBSTITUTE(SUBSTITUTE(E8,""["",""""),""]"",""""),"","")))))"),0.5800083332799998)</f>
        <v>0.5800083333</v>
      </c>
      <c r="H8" s="4">
        <f t="shared" si="1"/>
        <v>1000</v>
      </c>
      <c r="I8" s="4">
        <f>IFERROR(__xludf.DUMMYFUNCTION("COUNTA(UNIQUE(ARRAYFORMULA(VALUE(TRIM(SPLIT(SUBSTITUTE(SUBSTITUTE(F8,""["",""""),""]"",""""),"","")))))) - 1"),16.0)</f>
        <v>16</v>
      </c>
      <c r="J8" s="3" t="s">
        <v>18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40.29"/>
    <col customWidth="1" min="3" max="3" width="21.57"/>
    <col customWidth="1" min="4" max="5" width="19.57"/>
    <col customWidth="1" min="6" max="6" width="20.0"/>
    <col customWidth="1" min="7" max="7" width="16.0"/>
    <col customWidth="1" min="8" max="8" width="14.43"/>
    <col customWidth="1" min="9" max="27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289</v>
      </c>
      <c r="B2" s="4" t="s">
        <v>215</v>
      </c>
      <c r="C2" s="3" t="s">
        <v>10</v>
      </c>
      <c r="D2" s="3" t="s">
        <v>290</v>
      </c>
      <c r="E2" s="4">
        <f t="shared" ref="E2:E13" si="1">(LEN(D2)-LEN(SUBSTITUTE(D2,"True","")))/4</f>
        <v>10</v>
      </c>
      <c r="F2" s="4">
        <f t="shared" ref="F2:F13" si="2">LEN(D2)-LEN(SUBSTITUTE(D2,",",""))+1</f>
        <v>200</v>
      </c>
      <c r="G2" s="4">
        <f t="shared" ref="G2:G13" si="3">E2/F2</f>
        <v>0.05</v>
      </c>
      <c r="H2" s="4" t="s">
        <v>18</v>
      </c>
    </row>
    <row r="3">
      <c r="A3" s="3" t="s">
        <v>289</v>
      </c>
      <c r="B3" s="4" t="s">
        <v>215</v>
      </c>
      <c r="C3" s="3" t="s">
        <v>16</v>
      </c>
      <c r="D3" s="3" t="s">
        <v>291</v>
      </c>
      <c r="E3" s="4">
        <f t="shared" si="1"/>
        <v>2</v>
      </c>
      <c r="F3" s="4">
        <f t="shared" si="2"/>
        <v>200</v>
      </c>
      <c r="G3" s="4">
        <f t="shared" si="3"/>
        <v>0.01</v>
      </c>
      <c r="H3" s="4" t="s">
        <v>18</v>
      </c>
    </row>
    <row r="4">
      <c r="A4" s="3" t="s">
        <v>289</v>
      </c>
      <c r="B4" s="4" t="s">
        <v>218</v>
      </c>
      <c r="C4" s="3" t="s">
        <v>10</v>
      </c>
      <c r="D4" s="3" t="s">
        <v>292</v>
      </c>
      <c r="E4" s="4">
        <f t="shared" si="1"/>
        <v>10</v>
      </c>
      <c r="F4" s="4">
        <f t="shared" si="2"/>
        <v>200</v>
      </c>
      <c r="G4" s="4">
        <f t="shared" si="3"/>
        <v>0.05</v>
      </c>
      <c r="H4" s="4" t="s">
        <v>18</v>
      </c>
    </row>
    <row r="5">
      <c r="A5" s="3" t="s">
        <v>289</v>
      </c>
      <c r="B5" s="4" t="s">
        <v>218</v>
      </c>
      <c r="C5" s="3" t="s">
        <v>16</v>
      </c>
      <c r="D5" s="3" t="s">
        <v>293</v>
      </c>
      <c r="E5" s="4">
        <f t="shared" si="1"/>
        <v>25</v>
      </c>
      <c r="F5" s="4">
        <f t="shared" si="2"/>
        <v>200</v>
      </c>
      <c r="G5" s="4">
        <f t="shared" si="3"/>
        <v>0.125</v>
      </c>
      <c r="H5" s="4" t="s">
        <v>18</v>
      </c>
    </row>
    <row r="6">
      <c r="A6" s="3" t="s">
        <v>289</v>
      </c>
      <c r="B6" s="4" t="s">
        <v>221</v>
      </c>
      <c r="C6" s="3" t="s">
        <v>10</v>
      </c>
      <c r="D6" s="3" t="s">
        <v>294</v>
      </c>
      <c r="E6" s="4">
        <f t="shared" si="1"/>
        <v>7</v>
      </c>
      <c r="F6" s="4">
        <f t="shared" si="2"/>
        <v>198</v>
      </c>
      <c r="G6" s="4">
        <f t="shared" si="3"/>
        <v>0.03535353535</v>
      </c>
      <c r="H6" s="4" t="s">
        <v>18</v>
      </c>
    </row>
    <row r="7">
      <c r="A7" s="3" t="s">
        <v>289</v>
      </c>
      <c r="B7" s="4" t="s">
        <v>221</v>
      </c>
      <c r="C7" s="3" t="s">
        <v>16</v>
      </c>
      <c r="D7" s="3" t="s">
        <v>295</v>
      </c>
      <c r="E7" s="4">
        <f t="shared" si="1"/>
        <v>14</v>
      </c>
      <c r="F7" s="4">
        <f t="shared" si="2"/>
        <v>200</v>
      </c>
      <c r="G7" s="4">
        <f t="shared" si="3"/>
        <v>0.07</v>
      </c>
      <c r="H7" s="4" t="s">
        <v>18</v>
      </c>
    </row>
    <row r="8">
      <c r="A8" s="3" t="s">
        <v>289</v>
      </c>
      <c r="B8" s="4" t="s">
        <v>224</v>
      </c>
      <c r="C8" s="3" t="s">
        <v>10</v>
      </c>
      <c r="D8" s="3" t="s">
        <v>296</v>
      </c>
      <c r="E8" s="4">
        <f t="shared" si="1"/>
        <v>4</v>
      </c>
      <c r="F8" s="4">
        <f t="shared" si="2"/>
        <v>199</v>
      </c>
      <c r="G8" s="4">
        <f t="shared" si="3"/>
        <v>0.02010050251</v>
      </c>
      <c r="H8" s="4" t="s">
        <v>12</v>
      </c>
    </row>
    <row r="9">
      <c r="A9" s="3" t="s">
        <v>289</v>
      </c>
      <c r="B9" s="4" t="s">
        <v>224</v>
      </c>
      <c r="C9" s="3" t="s">
        <v>16</v>
      </c>
      <c r="D9" s="3" t="s">
        <v>297</v>
      </c>
      <c r="E9" s="4">
        <f t="shared" si="1"/>
        <v>20</v>
      </c>
      <c r="F9" s="4">
        <f t="shared" si="2"/>
        <v>200</v>
      </c>
      <c r="G9" s="4">
        <f t="shared" si="3"/>
        <v>0.1</v>
      </c>
      <c r="H9" s="4" t="s">
        <v>18</v>
      </c>
    </row>
    <row r="10">
      <c r="A10" s="3" t="s">
        <v>289</v>
      </c>
      <c r="B10" s="4" t="s">
        <v>227</v>
      </c>
      <c r="C10" s="3" t="s">
        <v>10</v>
      </c>
      <c r="D10" s="3" t="s">
        <v>298</v>
      </c>
      <c r="E10" s="4">
        <f t="shared" si="1"/>
        <v>45</v>
      </c>
      <c r="F10" s="4">
        <f t="shared" si="2"/>
        <v>200</v>
      </c>
      <c r="G10" s="4">
        <f t="shared" si="3"/>
        <v>0.225</v>
      </c>
      <c r="H10" s="4" t="s">
        <v>18</v>
      </c>
    </row>
    <row r="11">
      <c r="A11" s="3" t="s">
        <v>289</v>
      </c>
      <c r="B11" s="4" t="s">
        <v>227</v>
      </c>
      <c r="C11" s="3" t="s">
        <v>16</v>
      </c>
      <c r="D11" s="3" t="s">
        <v>299</v>
      </c>
      <c r="E11" s="4">
        <f t="shared" si="1"/>
        <v>56</v>
      </c>
      <c r="F11" s="4">
        <f t="shared" si="2"/>
        <v>200</v>
      </c>
      <c r="G11" s="4">
        <f t="shared" si="3"/>
        <v>0.28</v>
      </c>
      <c r="H11" s="4" t="s">
        <v>18</v>
      </c>
    </row>
    <row r="12">
      <c r="A12" s="3" t="s">
        <v>289</v>
      </c>
      <c r="B12" s="4" t="s">
        <v>94</v>
      </c>
      <c r="C12" s="3" t="s">
        <v>10</v>
      </c>
      <c r="D12" s="3" t="s">
        <v>300</v>
      </c>
      <c r="E12" s="4">
        <f t="shared" si="1"/>
        <v>76</v>
      </c>
      <c r="F12" s="4">
        <f t="shared" si="2"/>
        <v>997</v>
      </c>
      <c r="G12" s="4">
        <f t="shared" si="3"/>
        <v>0.07622868606</v>
      </c>
      <c r="H12" s="4" t="s">
        <v>12</v>
      </c>
    </row>
    <row r="13">
      <c r="A13" s="3" t="s">
        <v>289</v>
      </c>
      <c r="B13" s="4" t="s">
        <v>94</v>
      </c>
      <c r="C13" s="3" t="s">
        <v>16</v>
      </c>
      <c r="D13" s="3" t="s">
        <v>301</v>
      </c>
      <c r="E13" s="4">
        <f t="shared" si="1"/>
        <v>117</v>
      </c>
      <c r="F13" s="4">
        <f t="shared" si="2"/>
        <v>1000</v>
      </c>
      <c r="G13" s="4">
        <f t="shared" si="3"/>
        <v>0.117</v>
      </c>
      <c r="H13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1.57"/>
    <col customWidth="1" min="3" max="3" width="22.0"/>
    <col customWidth="1" min="4" max="4" width="14.71"/>
    <col customWidth="1" min="5" max="6" width="19.0"/>
    <col customWidth="1" min="7" max="7" width="17.86"/>
    <col customWidth="1" min="8" max="8" width="15.0"/>
    <col customWidth="1" min="9" max="9" width="14.43"/>
    <col customWidth="1" min="10" max="27" width="8.86"/>
  </cols>
  <sheetData>
    <row r="1">
      <c r="A1" s="1" t="s">
        <v>0</v>
      </c>
      <c r="B1" s="1" t="s">
        <v>232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3" t="s">
        <v>302</v>
      </c>
      <c r="B2" s="4">
        <v>0.0</v>
      </c>
      <c r="C2" s="4" t="s">
        <v>234</v>
      </c>
      <c r="D2" s="4" t="s">
        <v>16</v>
      </c>
      <c r="E2" s="3" t="s">
        <v>303</v>
      </c>
      <c r="F2" s="4">
        <f t="shared" ref="F2:F8" si="1">(LEN(E2)-LEN(SUBSTITUTE(E2,"True","")))/4</f>
        <v>0</v>
      </c>
      <c r="G2" s="4">
        <f t="shared" ref="G2:G8" si="2">LEN(E2)-LEN(SUBSTITUTE(E2,",",""))+1</f>
        <v>998</v>
      </c>
      <c r="H2" s="4">
        <f t="shared" ref="H2:H8" si="3">F2/G2</f>
        <v>0</v>
      </c>
      <c r="I2" s="4" t="s">
        <v>18</v>
      </c>
    </row>
    <row r="3">
      <c r="A3" s="3" t="s">
        <v>302</v>
      </c>
      <c r="B3" s="4">
        <v>0.15</v>
      </c>
      <c r="C3" s="4" t="s">
        <v>234</v>
      </c>
      <c r="D3" s="4" t="s">
        <v>10</v>
      </c>
      <c r="E3" s="3" t="s">
        <v>304</v>
      </c>
      <c r="F3" s="4">
        <f t="shared" si="1"/>
        <v>2</v>
      </c>
      <c r="G3" s="4">
        <f t="shared" si="2"/>
        <v>999</v>
      </c>
      <c r="H3" s="4">
        <f t="shared" si="3"/>
        <v>0.002002002002</v>
      </c>
      <c r="I3" s="4" t="s">
        <v>18</v>
      </c>
    </row>
    <row r="4">
      <c r="A4" s="3" t="s">
        <v>302</v>
      </c>
      <c r="B4" s="4">
        <v>0.15</v>
      </c>
      <c r="C4" s="4" t="s">
        <v>234</v>
      </c>
      <c r="D4" s="4" t="s">
        <v>16</v>
      </c>
      <c r="E4" s="3" t="s">
        <v>305</v>
      </c>
      <c r="F4" s="4">
        <f t="shared" si="1"/>
        <v>12</v>
      </c>
      <c r="G4" s="4">
        <f t="shared" si="2"/>
        <v>1000</v>
      </c>
      <c r="H4" s="4">
        <f t="shared" si="3"/>
        <v>0.012</v>
      </c>
      <c r="I4" s="4" t="s">
        <v>18</v>
      </c>
    </row>
    <row r="5">
      <c r="A5" s="3" t="s">
        <v>302</v>
      </c>
      <c r="B5" s="4">
        <v>0.5</v>
      </c>
      <c r="C5" s="4" t="s">
        <v>234</v>
      </c>
      <c r="D5" s="4" t="s">
        <v>10</v>
      </c>
      <c r="E5" s="3" t="s">
        <v>306</v>
      </c>
      <c r="F5" s="4">
        <f t="shared" si="1"/>
        <v>35</v>
      </c>
      <c r="G5" s="4">
        <f t="shared" si="2"/>
        <v>999</v>
      </c>
      <c r="H5" s="4">
        <f t="shared" si="3"/>
        <v>0.03503503504</v>
      </c>
      <c r="I5" s="3" t="s">
        <v>12</v>
      </c>
    </row>
    <row r="6">
      <c r="A6" s="3" t="s">
        <v>302</v>
      </c>
      <c r="B6" s="4">
        <v>0.5</v>
      </c>
      <c r="C6" s="4" t="s">
        <v>234</v>
      </c>
      <c r="D6" s="4" t="s">
        <v>16</v>
      </c>
      <c r="E6" s="3" t="s">
        <v>307</v>
      </c>
      <c r="F6" s="4">
        <f t="shared" si="1"/>
        <v>68</v>
      </c>
      <c r="G6" s="4">
        <f t="shared" si="2"/>
        <v>982</v>
      </c>
      <c r="H6" s="4">
        <f t="shared" si="3"/>
        <v>0.06924643585</v>
      </c>
      <c r="I6" s="4" t="s">
        <v>18</v>
      </c>
    </row>
    <row r="7">
      <c r="A7" s="3" t="s">
        <v>302</v>
      </c>
      <c r="B7" s="4">
        <v>1.0</v>
      </c>
      <c r="C7" s="4" t="s">
        <v>234</v>
      </c>
      <c r="D7" s="4" t="s">
        <v>10</v>
      </c>
      <c r="E7" s="3" t="s">
        <v>308</v>
      </c>
      <c r="F7" s="4">
        <f t="shared" si="1"/>
        <v>76</v>
      </c>
      <c r="G7" s="4">
        <f t="shared" si="2"/>
        <v>997</v>
      </c>
      <c r="H7" s="4">
        <f t="shared" si="3"/>
        <v>0.07622868606</v>
      </c>
      <c r="I7" s="4" t="s">
        <v>12</v>
      </c>
    </row>
    <row r="8">
      <c r="A8" s="3" t="s">
        <v>302</v>
      </c>
      <c r="B8" s="4">
        <v>1.0</v>
      </c>
      <c r="C8" s="4" t="s">
        <v>234</v>
      </c>
      <c r="D8" s="4" t="s">
        <v>16</v>
      </c>
      <c r="E8" s="3" t="s">
        <v>309</v>
      </c>
      <c r="F8" s="4">
        <f t="shared" si="1"/>
        <v>117</v>
      </c>
      <c r="G8" s="4">
        <f t="shared" si="2"/>
        <v>1000</v>
      </c>
      <c r="H8" s="4">
        <f t="shared" si="3"/>
        <v>0.117</v>
      </c>
      <c r="I8" s="4" t="s">
        <v>18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41.43"/>
    <col customWidth="1" min="3" max="3" width="26.86"/>
    <col customWidth="1" min="4" max="4" width="22.86"/>
    <col customWidth="1" min="5" max="5" width="20.86"/>
    <col customWidth="1" min="6" max="6" width="19.86"/>
    <col customWidth="1" min="7" max="7" width="16.43"/>
    <col customWidth="1" min="8" max="8" width="19.43"/>
    <col customWidth="1" min="9" max="9" width="13.0"/>
    <col customWidth="1" min="10" max="27" width="8.86"/>
  </cols>
  <sheetData>
    <row r="1">
      <c r="A1" s="1" t="s">
        <v>0</v>
      </c>
      <c r="B1" s="1" t="s">
        <v>1</v>
      </c>
      <c r="C1" s="1" t="s">
        <v>2</v>
      </c>
      <c r="D1" s="2" t="s">
        <v>242</v>
      </c>
      <c r="E1" s="2" t="s">
        <v>243</v>
      </c>
      <c r="F1" s="1" t="s">
        <v>244</v>
      </c>
      <c r="G1" s="1" t="s">
        <v>5</v>
      </c>
      <c r="H1" s="1" t="s">
        <v>245</v>
      </c>
      <c r="I1" s="6" t="s">
        <v>7</v>
      </c>
    </row>
    <row r="2">
      <c r="A2" s="3" t="s">
        <v>310</v>
      </c>
      <c r="B2" s="3" t="s">
        <v>215</v>
      </c>
      <c r="C2" s="3" t="s">
        <v>10</v>
      </c>
      <c r="D2" s="3" t="s">
        <v>311</v>
      </c>
      <c r="E2" s="9" t="s">
        <v>267</v>
      </c>
      <c r="F2" s="4">
        <f>IFERROR(__xludf.DUMMYFUNCTION("AVERAGE(ARRAYFORMULA(VALUE(TRIM(SPLIT(SUBSTITUTE(SUBSTITUTE(D2,""["",""""),""]"",""""),"","")))))"),0.2375)</f>
        <v>0.2375</v>
      </c>
      <c r="G2" s="4">
        <f t="shared" ref="G2:G13" si="1">LEN(D2)-LEN(SUBSTITUTE(D2,",",""))+1</f>
        <v>200</v>
      </c>
      <c r="H2" s="4">
        <f>IFERROR(__xludf.DUMMYFUNCTION("COUNTA(UNIQUE(ARRAYFORMULA(VALUE(TRIM(SPLIT(SUBSTITUTE(SUBSTITUTE(E2,""["",""""),""]"",""""),"","")))))) - 1"),8.0)</f>
        <v>8</v>
      </c>
      <c r="I2" s="3" t="s">
        <v>12</v>
      </c>
    </row>
    <row r="3">
      <c r="A3" s="3" t="s">
        <v>310</v>
      </c>
      <c r="B3" s="3" t="s">
        <v>215</v>
      </c>
      <c r="C3" s="3" t="s">
        <v>249</v>
      </c>
      <c r="D3" s="3" t="s">
        <v>312</v>
      </c>
      <c r="E3" s="3" t="s">
        <v>267</v>
      </c>
      <c r="F3" s="4">
        <f>IFERROR(__xludf.DUMMYFUNCTION("AVERAGE(ARRAYFORMULA(VALUE(TRIM(SPLIT(SUBSTITUTE(SUBSTITUTE(D3,""["",""""),""]"",""""),"","")))))"),0.338125)</f>
        <v>0.338125</v>
      </c>
      <c r="G3" s="4">
        <f t="shared" si="1"/>
        <v>200</v>
      </c>
      <c r="H3" s="4">
        <f>IFERROR(__xludf.DUMMYFUNCTION("COUNTA(UNIQUE(ARRAYFORMULA(VALUE(TRIM(SPLIT(SUBSTITUTE(SUBSTITUTE(E3,""["",""""),""]"",""""),"","")))))) - 1"),8.0)</f>
        <v>8</v>
      </c>
      <c r="I3" s="3" t="s">
        <v>18</v>
      </c>
    </row>
    <row r="4">
      <c r="A4" s="3" t="s">
        <v>310</v>
      </c>
      <c r="B4" s="3" t="s">
        <v>218</v>
      </c>
      <c r="C4" s="3" t="s">
        <v>10</v>
      </c>
      <c r="D4" s="3" t="s">
        <v>313</v>
      </c>
      <c r="E4" s="3" t="s">
        <v>270</v>
      </c>
      <c r="F4" s="4">
        <f>IFERROR(__xludf.DUMMYFUNCTION("AVERAGE(ARRAYFORMULA(VALUE(TRIM(SPLIT(SUBSTITUTE(SUBSTITUTE(D4,""["",""""),""]"",""""),"","")))))"),0.35400000000000065)</f>
        <v>0.354</v>
      </c>
      <c r="G4" s="4">
        <f t="shared" si="1"/>
        <v>200</v>
      </c>
      <c r="H4" s="4">
        <f>IFERROR(__xludf.DUMMYFUNCTION("COUNTA(UNIQUE(ARRAYFORMULA(VALUE(TRIM(SPLIT(SUBSTITUTE(SUBSTITUTE(E4,""["",""""),""]"",""""),"","")))))) - 1"),5.0)</f>
        <v>5</v>
      </c>
      <c r="I4" s="3" t="s">
        <v>12</v>
      </c>
    </row>
    <row r="5">
      <c r="A5" s="3" t="s">
        <v>310</v>
      </c>
      <c r="B5" s="3" t="s">
        <v>218</v>
      </c>
      <c r="C5" s="3" t="s">
        <v>249</v>
      </c>
      <c r="D5" s="3" t="s">
        <v>314</v>
      </c>
      <c r="E5" s="3" t="s">
        <v>270</v>
      </c>
      <c r="F5" s="4">
        <f>IFERROR(__xludf.DUMMYFUNCTION("AVERAGE(ARRAYFORMULA(VALUE(TRIM(SPLIT(SUBSTITUTE(SUBSTITUTE(D5,""["",""""),""]"",""""),"","")))))"),0.45300000000000035)</f>
        <v>0.453</v>
      </c>
      <c r="G5" s="4">
        <f t="shared" si="1"/>
        <v>200</v>
      </c>
      <c r="H5" s="4">
        <f>IFERROR(__xludf.DUMMYFUNCTION("COUNTA(UNIQUE(ARRAYFORMULA(VALUE(TRIM(SPLIT(SUBSTITUTE(SUBSTITUTE(E5,""["",""""),""]"",""""),"","")))))) - 1"),5.0)</f>
        <v>5</v>
      </c>
      <c r="I5" s="3" t="s">
        <v>18</v>
      </c>
    </row>
    <row r="6">
      <c r="A6" s="3" t="s">
        <v>310</v>
      </c>
      <c r="B6" s="8" t="s">
        <v>221</v>
      </c>
      <c r="C6" s="3" t="s">
        <v>10</v>
      </c>
      <c r="D6" s="3" t="s">
        <v>315</v>
      </c>
      <c r="E6" s="5" t="s">
        <v>273</v>
      </c>
      <c r="F6" s="4">
        <f>IFERROR(__xludf.DUMMYFUNCTION("AVERAGE(ARRAYFORMULA(VALUE(TRIM(SPLIT(SUBSTITUTE(SUBSTITUTE(D6,""["",""""),""]"",""""),"","")))))"),0.21085858585858586)</f>
        <v>0.2108585859</v>
      </c>
      <c r="G6" s="4">
        <f t="shared" si="1"/>
        <v>198</v>
      </c>
      <c r="H6" s="4">
        <f>IFERROR(__xludf.DUMMYFUNCTION("COUNTA(UNIQUE(ARRAYFORMULA(VALUE(TRIM(SPLIT(SUBSTITUTE(SUBSTITUTE(E6,""["",""""),""]"",""""),"","")))))) - 1"),4.0)</f>
        <v>4</v>
      </c>
      <c r="I6" s="3" t="s">
        <v>12</v>
      </c>
    </row>
    <row r="7">
      <c r="A7" s="3" t="s">
        <v>310</v>
      </c>
      <c r="B7" s="8" t="s">
        <v>221</v>
      </c>
      <c r="C7" s="3" t="s">
        <v>249</v>
      </c>
      <c r="D7" s="3" t="s">
        <v>316</v>
      </c>
      <c r="E7" s="3" t="s">
        <v>273</v>
      </c>
      <c r="F7" s="4">
        <f>IFERROR(__xludf.DUMMYFUNCTION("AVERAGE(ARRAYFORMULA(VALUE(TRIM(SPLIT(SUBSTITUTE(SUBSTITUTE(D7,""["",""""),""]"",""""),"","")))))"),0.47875)</f>
        <v>0.47875</v>
      </c>
      <c r="G7" s="4">
        <f t="shared" si="1"/>
        <v>200</v>
      </c>
      <c r="H7" s="4">
        <f>IFERROR(__xludf.DUMMYFUNCTION("COUNTA(UNIQUE(ARRAYFORMULA(VALUE(TRIM(SPLIT(SUBSTITUTE(SUBSTITUTE(E7,""["",""""),""]"",""""),"","")))))) - 1"),4.0)</f>
        <v>4</v>
      </c>
      <c r="I7" s="3" t="s">
        <v>18</v>
      </c>
    </row>
    <row r="8">
      <c r="A8" s="3" t="s">
        <v>310</v>
      </c>
      <c r="B8" s="3" t="s">
        <v>224</v>
      </c>
      <c r="C8" s="3" t="s">
        <v>10</v>
      </c>
      <c r="D8" s="3" t="s">
        <v>317</v>
      </c>
      <c r="E8" s="3" t="s">
        <v>270</v>
      </c>
      <c r="F8" s="4">
        <f>IFERROR(__xludf.DUMMYFUNCTION("AVERAGE(ARRAYFORMULA(VALUE(TRIM(SPLIT(SUBSTITUTE(SUBSTITUTE(D8,""["",""""),""]"",""""),"","")))))"),0.26532663316582933)</f>
        <v>0.2653266332</v>
      </c>
      <c r="G8" s="4">
        <f t="shared" si="1"/>
        <v>199</v>
      </c>
      <c r="H8" s="4">
        <f>IFERROR(__xludf.DUMMYFUNCTION("COUNTA(UNIQUE(ARRAYFORMULA(VALUE(TRIM(SPLIT(SUBSTITUTE(SUBSTITUTE(E8,""["",""""),""]"",""""),"","")))))) - 1"),5.0)</f>
        <v>5</v>
      </c>
      <c r="I8" s="3" t="s">
        <v>12</v>
      </c>
    </row>
    <row r="9">
      <c r="A9" s="3" t="s">
        <v>310</v>
      </c>
      <c r="B9" s="3" t="s">
        <v>224</v>
      </c>
      <c r="C9" s="3" t="s">
        <v>249</v>
      </c>
      <c r="D9" s="3" t="s">
        <v>318</v>
      </c>
      <c r="E9" s="3" t="s">
        <v>270</v>
      </c>
      <c r="F9" s="4">
        <f>IFERROR(__xludf.DUMMYFUNCTION("AVERAGE(ARRAYFORMULA(VALUE(TRIM(SPLIT(SUBSTITUTE(SUBSTITUTE(D9,""["",""""),""]"",""""),"","")))))"),0.4930000000000003)</f>
        <v>0.493</v>
      </c>
      <c r="G9" s="4">
        <f t="shared" si="1"/>
        <v>200</v>
      </c>
      <c r="H9" s="4">
        <f>IFERROR(__xludf.DUMMYFUNCTION("COUNTA(UNIQUE(ARRAYFORMULA(VALUE(TRIM(SPLIT(SUBSTITUTE(SUBSTITUTE(E9,""["",""""),""]"",""""),"","")))))) - 1"),5.0)</f>
        <v>5</v>
      </c>
      <c r="I9" s="3" t="s">
        <v>18</v>
      </c>
    </row>
    <row r="10">
      <c r="A10" s="3" t="s">
        <v>310</v>
      </c>
      <c r="B10" s="3" t="s">
        <v>227</v>
      </c>
      <c r="C10" s="3" t="s">
        <v>10</v>
      </c>
      <c r="D10" s="3" t="s">
        <v>319</v>
      </c>
      <c r="E10" s="3" t="s">
        <v>278</v>
      </c>
      <c r="F10" s="4">
        <f>IFERROR(__xludf.DUMMYFUNCTION("AVERAGE(ARRAYFORMULA(VALUE(TRIM(SPLIT(SUBSTITUTE(SUBSTITUTE(D10,""["",""""),""]"",""""),"","")))))"),0.4783333334000001)</f>
        <v>0.4783333334</v>
      </c>
      <c r="G10" s="4">
        <f t="shared" si="1"/>
        <v>200</v>
      </c>
      <c r="H10" s="4">
        <f>IFERROR(__xludf.DUMMYFUNCTION("COUNTA(UNIQUE(ARRAYFORMULA(VALUE(TRIM(SPLIT(SUBSTITUTE(SUBSTITUTE(E10,""["",""""),""]"",""""),"","")))))) - 1"),6.0)</f>
        <v>6</v>
      </c>
      <c r="I10" s="3" t="s">
        <v>18</v>
      </c>
    </row>
    <row r="11">
      <c r="A11" s="3" t="s">
        <v>310</v>
      </c>
      <c r="B11" s="3" t="s">
        <v>227</v>
      </c>
      <c r="C11" s="3" t="s">
        <v>249</v>
      </c>
      <c r="D11" s="3" t="s">
        <v>320</v>
      </c>
      <c r="E11" s="3" t="s">
        <v>278</v>
      </c>
      <c r="F11" s="4">
        <f>IFERROR(__xludf.DUMMYFUNCTION("AVERAGE(ARRAYFORMULA(VALUE(TRIM(SPLIT(SUBSTITUTE(SUBSTITUTE(D11,""["",""""),""]"",""""),"","")))))"),0.5141666666)</f>
        <v>0.5141666666</v>
      </c>
      <c r="G11" s="4">
        <f t="shared" si="1"/>
        <v>200</v>
      </c>
      <c r="H11" s="4">
        <f>IFERROR(__xludf.DUMMYFUNCTION("COUNTA(UNIQUE(ARRAYFORMULA(VALUE(TRIM(SPLIT(SUBSTITUTE(SUBSTITUTE(E11,""["",""""),""]"",""""),"","")))))) - 1"),6.0)</f>
        <v>6</v>
      </c>
      <c r="I11" s="3" t="s">
        <v>18</v>
      </c>
    </row>
    <row r="12">
      <c r="A12" s="3" t="s">
        <v>310</v>
      </c>
      <c r="B12" s="3" t="s">
        <v>118</v>
      </c>
      <c r="C12" s="3" t="s">
        <v>10</v>
      </c>
      <c r="D12" s="3" t="s">
        <v>321</v>
      </c>
      <c r="E12" s="3" t="s">
        <v>281</v>
      </c>
      <c r="F12" s="4">
        <f>IFERROR(__xludf.DUMMYFUNCTION("AVERAGE(ARRAYFORMULA(VALUE(TRIM(SPLIT(SUBSTITUTE(SUBSTITUTE(D12,""["",""""),""]"",""""),"","")))))"),0.3094450016850553)</f>
        <v>0.3094450017</v>
      </c>
      <c r="G12" s="4">
        <f t="shared" si="1"/>
        <v>997</v>
      </c>
      <c r="H12" s="4">
        <f>IFERROR(__xludf.DUMMYFUNCTION("COUNTA(UNIQUE(ARRAYFORMULA(VALUE(TRIM(SPLIT(SUBSTITUTE(SUBSTITUTE(E12,""["",""""),""]"",""""),"","")))))) - 1"),16.0)</f>
        <v>16</v>
      </c>
      <c r="I12" s="3" t="s">
        <v>12</v>
      </c>
    </row>
    <row r="13">
      <c r="A13" s="3" t="s">
        <v>310</v>
      </c>
      <c r="B13" s="3" t="s">
        <v>118</v>
      </c>
      <c r="C13" s="3" t="s">
        <v>249</v>
      </c>
      <c r="D13" s="3" t="s">
        <v>322</v>
      </c>
      <c r="E13" s="3" t="s">
        <v>281</v>
      </c>
      <c r="F13" s="4">
        <f>IFERROR(__xludf.DUMMYFUNCTION("AVERAGE(ARRAYFORMULA(VALUE(TRIM(SPLIT(SUBSTITUTE(SUBSTITUTE(D13,""["",""""),""]"",""""),"","")))))"),0.45540833331999914)</f>
        <v>0.4554083333</v>
      </c>
      <c r="G13" s="4">
        <f t="shared" si="1"/>
        <v>1000</v>
      </c>
      <c r="H13" s="4">
        <f>IFERROR(__xludf.DUMMYFUNCTION("COUNTA(UNIQUE(ARRAYFORMULA(VALUE(TRIM(SPLIT(SUBSTITUTE(SUBSTITUTE(E13,""["",""""),""]"",""""),"","")))))) - 1"),16.0)</f>
        <v>16</v>
      </c>
      <c r="I13" s="3" t="s">
        <v>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1.57"/>
    <col customWidth="1" min="3" max="3" width="22.0"/>
    <col customWidth="1" min="4" max="4" width="14.71"/>
    <col customWidth="1" min="5" max="5" width="23.71"/>
    <col customWidth="1" min="6" max="6" width="20.86"/>
    <col customWidth="1" min="7" max="7" width="20.14"/>
    <col customWidth="1" min="8" max="8" width="15.57"/>
    <col customWidth="1" min="9" max="9" width="17.86"/>
    <col customWidth="1" min="10" max="10" width="11.71"/>
    <col customWidth="1" min="11" max="27" width="8.86"/>
  </cols>
  <sheetData>
    <row r="1">
      <c r="A1" s="1" t="s">
        <v>0</v>
      </c>
      <c r="B1" s="1" t="s">
        <v>232</v>
      </c>
      <c r="C1" s="1" t="s">
        <v>1</v>
      </c>
      <c r="D1" s="1" t="s">
        <v>2</v>
      </c>
      <c r="E1" s="2" t="s">
        <v>242</v>
      </c>
      <c r="F1" s="2" t="s">
        <v>243</v>
      </c>
      <c r="G1" s="1" t="s">
        <v>244</v>
      </c>
      <c r="H1" s="1" t="s">
        <v>5</v>
      </c>
      <c r="I1" s="1" t="s">
        <v>245</v>
      </c>
      <c r="J1" s="6" t="s">
        <v>7</v>
      </c>
    </row>
    <row r="2">
      <c r="A2" s="3" t="s">
        <v>323</v>
      </c>
      <c r="B2" s="4">
        <v>0.0</v>
      </c>
      <c r="C2" s="4" t="s">
        <v>234</v>
      </c>
      <c r="D2" s="4" t="s">
        <v>16</v>
      </c>
      <c r="E2" s="3" t="s">
        <v>324</v>
      </c>
      <c r="F2" s="3" t="s">
        <v>281</v>
      </c>
      <c r="G2" s="4">
        <f>IFERROR(__xludf.DUMMYFUNCTION("AVERAGE(ARRAYFORMULA(VALUE(TRIM(SPLIT(SUBSTITUTE(SUBSTITUTE(E2,""["",""""),""]"",""""),"","")))))"),0.07000668024048094)</f>
        <v>0.07000668024</v>
      </c>
      <c r="H2" s="4">
        <f t="shared" ref="H2:H8" si="1">LEN(E2)-LEN(SUBSTITUTE(E2,",",""))+1</f>
        <v>998</v>
      </c>
      <c r="I2" s="4">
        <f>IFERROR(__xludf.DUMMYFUNCTION("COUNTA(UNIQUE(ARRAYFORMULA(VALUE(TRIM(SPLIT(SUBSTITUTE(SUBSTITUTE(F2,""["",""""),""]"",""""),"","")))))) - 1"),16.0)</f>
        <v>16</v>
      </c>
      <c r="J2" s="3" t="s">
        <v>18</v>
      </c>
    </row>
    <row r="3">
      <c r="A3" s="3" t="s">
        <v>323</v>
      </c>
      <c r="B3" s="4">
        <v>0.15</v>
      </c>
      <c r="C3" s="4" t="s">
        <v>234</v>
      </c>
      <c r="D3" s="4" t="s">
        <v>10</v>
      </c>
      <c r="E3" s="3" t="s">
        <v>325</v>
      </c>
      <c r="F3" s="3" t="s">
        <v>281</v>
      </c>
      <c r="G3" s="4">
        <f>IFERROR(__xludf.DUMMYFUNCTION("AVERAGE(ARRAYFORMULA(VALUE(TRIM(SPLIT(SUBSTITUTE(SUBSTITUTE(E3,""["",""""),""]"",""""),"","")))))"),0.1160827493993996)</f>
        <v>0.1160827494</v>
      </c>
      <c r="H3" s="4">
        <f t="shared" si="1"/>
        <v>999</v>
      </c>
      <c r="I3" s="4">
        <f>IFERROR(__xludf.DUMMYFUNCTION("COUNTA(UNIQUE(ARRAYFORMULA(VALUE(TRIM(SPLIT(SUBSTITUTE(SUBSTITUTE(F3,""["",""""),""]"",""""),"","")))))) - 1"),16.0)</f>
        <v>16</v>
      </c>
      <c r="J3" s="3" t="s">
        <v>12</v>
      </c>
    </row>
    <row r="4">
      <c r="A4" s="3" t="s">
        <v>323</v>
      </c>
      <c r="B4" s="4">
        <v>0.15</v>
      </c>
      <c r="C4" s="4" t="s">
        <v>234</v>
      </c>
      <c r="D4" s="4" t="s">
        <v>16</v>
      </c>
      <c r="E4" s="3" t="s">
        <v>326</v>
      </c>
      <c r="F4" s="3" t="s">
        <v>281</v>
      </c>
      <c r="G4" s="4">
        <f>IFERROR(__xludf.DUMMYFUNCTION("AVERAGE(ARRAYFORMULA(VALUE(TRIM(SPLIT(SUBSTITUTE(SUBSTITUTE(E4,""["",""""),""]"",""""),"","")))))"),0.25544166675000024)</f>
        <v>0.2554416668</v>
      </c>
      <c r="H4" s="4">
        <f t="shared" si="1"/>
        <v>1000</v>
      </c>
      <c r="I4" s="4">
        <f>IFERROR(__xludf.DUMMYFUNCTION("COUNTA(UNIQUE(ARRAYFORMULA(VALUE(TRIM(SPLIT(SUBSTITUTE(SUBSTITUTE(F4,""["",""""),""]"",""""),"","")))))) - 1"),16.0)</f>
        <v>16</v>
      </c>
      <c r="J4" s="3" t="s">
        <v>18</v>
      </c>
    </row>
    <row r="5">
      <c r="A5" s="3" t="s">
        <v>323</v>
      </c>
      <c r="B5" s="4">
        <v>0.5</v>
      </c>
      <c r="C5" s="4" t="s">
        <v>234</v>
      </c>
      <c r="D5" s="4" t="s">
        <v>10</v>
      </c>
      <c r="E5" s="3" t="s">
        <v>327</v>
      </c>
      <c r="F5" s="3" t="s">
        <v>281</v>
      </c>
      <c r="G5" s="4">
        <f>IFERROR(__xludf.DUMMYFUNCTION("AVERAGE(ARRAYFORMULA(VALUE(TRIM(SPLIT(SUBSTITUTE(SUBSTITUTE(E5,""["",""""),""]"",""""),"","")))))"),0.20785785791791847)</f>
        <v>0.2078578579</v>
      </c>
      <c r="H5" s="4">
        <f t="shared" si="1"/>
        <v>999</v>
      </c>
      <c r="I5" s="4">
        <f>IFERROR(__xludf.DUMMYFUNCTION("COUNTA(UNIQUE(ARRAYFORMULA(VALUE(TRIM(SPLIT(SUBSTITUTE(SUBSTITUTE(F5,""["",""""),""]"",""""),"","")))))) - 1"),16.0)</f>
        <v>16</v>
      </c>
      <c r="J5" s="3" t="s">
        <v>12</v>
      </c>
    </row>
    <row r="6">
      <c r="A6" s="3" t="s">
        <v>323</v>
      </c>
      <c r="B6" s="4">
        <v>0.5</v>
      </c>
      <c r="C6" s="4" t="s">
        <v>234</v>
      </c>
      <c r="D6" s="4" t="s">
        <v>16</v>
      </c>
      <c r="E6" s="3" t="s">
        <v>328</v>
      </c>
      <c r="F6" s="3" t="s">
        <v>281</v>
      </c>
      <c r="G6" s="4">
        <f>IFERROR(__xludf.DUMMYFUNCTION("AVERAGE(ARRAYFORMULA(VALUE(TRIM(SPLIT(SUBSTITUTE(SUBSTITUTE(E6,""["",""""),""]"",""""),"","")))))"),0.39837915813645597)</f>
        <v>0.3983791581</v>
      </c>
      <c r="H6" s="4">
        <f t="shared" si="1"/>
        <v>982</v>
      </c>
      <c r="I6" s="4">
        <f>IFERROR(__xludf.DUMMYFUNCTION("COUNTA(UNIQUE(ARRAYFORMULA(VALUE(TRIM(SPLIT(SUBSTITUTE(SUBSTITUTE(F6,""["",""""),""]"",""""),"","")))))) - 1"),16.0)</f>
        <v>16</v>
      </c>
      <c r="J6" s="3" t="s">
        <v>18</v>
      </c>
    </row>
    <row r="7">
      <c r="A7" s="3" t="s">
        <v>323</v>
      </c>
      <c r="B7" s="4">
        <v>1.0</v>
      </c>
      <c r="C7" s="4" t="s">
        <v>234</v>
      </c>
      <c r="D7" s="4" t="s">
        <v>10</v>
      </c>
      <c r="E7" s="3" t="s">
        <v>321</v>
      </c>
      <c r="F7" s="3" t="s">
        <v>281</v>
      </c>
      <c r="G7" s="4">
        <f>IFERROR(__xludf.DUMMYFUNCTION("AVERAGE(ARRAYFORMULA(VALUE(TRIM(SPLIT(SUBSTITUTE(SUBSTITUTE(E7,""["",""""),""]"",""""),"","")))))"),0.3094450016850553)</f>
        <v>0.3094450017</v>
      </c>
      <c r="H7" s="4">
        <f t="shared" si="1"/>
        <v>997</v>
      </c>
      <c r="I7" s="4">
        <f>IFERROR(__xludf.DUMMYFUNCTION("COUNTA(UNIQUE(ARRAYFORMULA(VALUE(TRIM(SPLIT(SUBSTITUTE(SUBSTITUTE(F7,""["",""""),""]"",""""),"","")))))) - 1"),16.0)</f>
        <v>16</v>
      </c>
      <c r="J7" s="3" t="s">
        <v>12</v>
      </c>
    </row>
    <row r="8">
      <c r="A8" s="3" t="s">
        <v>323</v>
      </c>
      <c r="B8" s="4">
        <v>1.0</v>
      </c>
      <c r="C8" s="4" t="s">
        <v>234</v>
      </c>
      <c r="D8" s="4" t="s">
        <v>16</v>
      </c>
      <c r="E8" s="3" t="s">
        <v>322</v>
      </c>
      <c r="F8" s="3" t="s">
        <v>281</v>
      </c>
      <c r="G8" s="4">
        <f>IFERROR(__xludf.DUMMYFUNCTION("AVERAGE(ARRAYFORMULA(VALUE(TRIM(SPLIT(SUBSTITUTE(SUBSTITUTE(E8,""["",""""),""]"",""""),"","")))))"),0.45540833331999914)</f>
        <v>0.4554083333</v>
      </c>
      <c r="H8" s="4">
        <f t="shared" si="1"/>
        <v>1000</v>
      </c>
      <c r="I8" s="4">
        <f>IFERROR(__xludf.DUMMYFUNCTION("COUNTA(UNIQUE(ARRAYFORMULA(VALUE(TRIM(SPLIT(SUBSTITUTE(SUBSTITUTE(F8,""["",""""),""]"",""""),"","")))))) - 1"),16.0)</f>
        <v>16</v>
      </c>
      <c r="J8" s="3" t="s">
        <v>18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41.43"/>
    <col customWidth="1" min="3" max="3" width="26.86"/>
    <col customWidth="1" min="4" max="4" width="22.86"/>
    <col customWidth="1" min="5" max="5" width="20.86"/>
    <col customWidth="1" min="6" max="6" width="19.86"/>
    <col customWidth="1" min="7" max="7" width="16.43"/>
    <col customWidth="1" min="8" max="8" width="19.43"/>
    <col customWidth="1" min="9" max="9" width="13.0"/>
    <col customWidth="1" min="10" max="27" width="8.86"/>
  </cols>
  <sheetData>
    <row r="1">
      <c r="A1" s="1" t="s">
        <v>0</v>
      </c>
      <c r="B1" s="1" t="s">
        <v>1</v>
      </c>
      <c r="C1" s="1" t="s">
        <v>2</v>
      </c>
      <c r="D1" s="2" t="s">
        <v>242</v>
      </c>
      <c r="E1" s="2" t="s">
        <v>243</v>
      </c>
      <c r="F1" s="1" t="s">
        <v>244</v>
      </c>
      <c r="G1" s="1" t="s">
        <v>5</v>
      </c>
      <c r="H1" s="1" t="s">
        <v>245</v>
      </c>
      <c r="I1" s="6" t="s">
        <v>7</v>
      </c>
    </row>
    <row r="2">
      <c r="A2" s="3" t="s">
        <v>329</v>
      </c>
      <c r="B2" s="3" t="s">
        <v>330</v>
      </c>
      <c r="C2" s="3" t="s">
        <v>10</v>
      </c>
      <c r="D2" s="3" t="s">
        <v>259</v>
      </c>
      <c r="E2" s="5" t="s">
        <v>260</v>
      </c>
      <c r="F2" s="4">
        <f>IFERROR(__xludf.DUMMYFUNCTION("AVERAGE(ARRAYFORMULA(VALUE(TRIM(SPLIT(SUBSTITUTE(SUBSTITUTE(D2,""["",""""),""]"",""""),"","")))))"),0.4650000000000001)</f>
        <v>0.465</v>
      </c>
      <c r="G2" s="4">
        <f t="shared" ref="G2:G5" si="1">LEN(D2)-LEN(SUBSTITUTE(D2,",",""))+1</f>
        <v>50</v>
      </c>
      <c r="H2" s="4">
        <f>IFERROR(__xludf.DUMMYFUNCTION("COUNTA(UNIQUE(ARRAYFORMULA(VALUE(TRIM(SPLIT(SUBSTITUTE(SUBSTITUTE(E2,""["",""""),""]"",""""),"","")))))) - 1"),12.0)</f>
        <v>12</v>
      </c>
      <c r="I2" s="3" t="s">
        <v>15</v>
      </c>
    </row>
    <row r="3">
      <c r="A3" s="3" t="s">
        <v>329</v>
      </c>
      <c r="B3" s="3" t="s">
        <v>330</v>
      </c>
      <c r="C3" s="3" t="s">
        <v>331</v>
      </c>
      <c r="D3" s="3" t="s">
        <v>332</v>
      </c>
      <c r="E3" s="3" t="s">
        <v>260</v>
      </c>
      <c r="F3" s="4">
        <f>IFERROR(__xludf.DUMMYFUNCTION("AVERAGE(ARRAYFORMULA(VALUE(TRIM(SPLIT(SUBSTITUTE(SUBSTITUTE(D3,""["",""""),""]"",""""),"","")))))"),0.6383333338000001)</f>
        <v>0.6383333338</v>
      </c>
      <c r="G3" s="4">
        <f t="shared" si="1"/>
        <v>50</v>
      </c>
      <c r="H3" s="4">
        <f>IFERROR(__xludf.DUMMYFUNCTION("COUNTA(UNIQUE(ARRAYFORMULA(VALUE(TRIM(SPLIT(SUBSTITUTE(SUBSTITUTE(E3,""["",""""),""]"",""""),"","")))))) - 1"),12.0)</f>
        <v>12</v>
      </c>
      <c r="I3" s="3" t="s">
        <v>12</v>
      </c>
    </row>
    <row r="4">
      <c r="A4" s="3" t="s">
        <v>329</v>
      </c>
      <c r="B4" s="3" t="s">
        <v>330</v>
      </c>
      <c r="C4" s="3" t="s">
        <v>333</v>
      </c>
      <c r="D4" s="3" t="s">
        <v>334</v>
      </c>
      <c r="E4" s="3" t="s">
        <v>260</v>
      </c>
      <c r="F4" s="4">
        <f>IFERROR(__xludf.DUMMYFUNCTION("AVERAGE(ARRAYFORMULA(VALUE(TRIM(SPLIT(SUBSTITUTE(SUBSTITUTE(D4,""["",""""),""]"",""""),"","")))))"),0.8233333335999998)</f>
        <v>0.8233333336</v>
      </c>
      <c r="G4" s="4">
        <f t="shared" si="1"/>
        <v>50</v>
      </c>
      <c r="H4" s="4">
        <f>IFERROR(__xludf.DUMMYFUNCTION("COUNTA(UNIQUE(ARRAYFORMULA(VALUE(TRIM(SPLIT(SUBSTITUTE(SUBSTITUTE(E4,""["",""""),""]"",""""),"","")))))) - 1"),12.0)</f>
        <v>12</v>
      </c>
      <c r="I4" s="3" t="s">
        <v>18</v>
      </c>
    </row>
    <row r="5">
      <c r="A5" s="3" t="s">
        <v>329</v>
      </c>
      <c r="B5" s="3" t="s">
        <v>330</v>
      </c>
      <c r="C5" s="3" t="s">
        <v>249</v>
      </c>
      <c r="D5" s="3" t="s">
        <v>261</v>
      </c>
      <c r="E5" s="3" t="s">
        <v>260</v>
      </c>
      <c r="F5" s="4">
        <f>IFERROR(__xludf.DUMMYFUNCTION("AVERAGE(ARRAYFORMULA(VALUE(TRIM(SPLIT(SUBSTITUTE(SUBSTITUTE(D5,""["",""""),""]"",""""),"","")))))"),0.8500000004)</f>
        <v>0.8500000004</v>
      </c>
      <c r="G5" s="4">
        <f t="shared" si="1"/>
        <v>50</v>
      </c>
      <c r="H5" s="4">
        <f>IFERROR(__xludf.DUMMYFUNCTION("COUNTA(UNIQUE(ARRAYFORMULA(VALUE(TRIM(SPLIT(SUBSTITUTE(SUBSTITUTE(E5,""["",""""),""]"",""""),"","")))))) - 1"),12.0)</f>
        <v>12</v>
      </c>
      <c r="I5" s="3" t="s">
        <v>18</v>
      </c>
    </row>
    <row r="6">
      <c r="B6" s="8"/>
      <c r="E6" s="5"/>
    </row>
    <row r="7">
      <c r="B7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1.57"/>
    <col customWidth="1" min="3" max="3" width="22.0"/>
    <col customWidth="1" min="4" max="4" width="30.0"/>
    <col customWidth="1" min="5" max="5" width="23.71"/>
    <col customWidth="1" min="6" max="6" width="20.86"/>
    <col customWidth="1" min="7" max="7" width="20.14"/>
    <col customWidth="1" min="8" max="8" width="15.57"/>
    <col customWidth="1" min="9" max="9" width="17.86"/>
    <col customWidth="1" min="10" max="10" width="11.71"/>
    <col customWidth="1" min="11" max="27" width="8.86"/>
  </cols>
  <sheetData>
    <row r="1">
      <c r="A1" s="1" t="s">
        <v>0</v>
      </c>
      <c r="B1" s="1" t="s">
        <v>232</v>
      </c>
      <c r="C1" s="1" t="s">
        <v>1</v>
      </c>
      <c r="D1" s="1" t="s">
        <v>2</v>
      </c>
      <c r="E1" s="2" t="s">
        <v>242</v>
      </c>
      <c r="F1" s="2" t="s">
        <v>243</v>
      </c>
      <c r="G1" s="1" t="s">
        <v>244</v>
      </c>
      <c r="H1" s="1" t="s">
        <v>5</v>
      </c>
      <c r="I1" s="1" t="s">
        <v>245</v>
      </c>
      <c r="J1" s="6" t="s">
        <v>7</v>
      </c>
    </row>
    <row r="2">
      <c r="A2" s="3" t="s">
        <v>335</v>
      </c>
      <c r="B2" s="4">
        <v>0.0</v>
      </c>
      <c r="C2" s="4" t="s">
        <v>234</v>
      </c>
      <c r="D2" s="3" t="s">
        <v>336</v>
      </c>
      <c r="E2" s="3" t="s">
        <v>337</v>
      </c>
      <c r="F2" s="3" t="s">
        <v>281</v>
      </c>
      <c r="G2" s="4">
        <f>IFERROR(__xludf.DUMMYFUNCTION("AVERAGE(ARRAYFORMULA(VALUE(TRIM(SPLIT(SUBSTITUTE(SUBSTITUTE(E2,""["",""""),""]"",""""),"","")))))"),0.04439166681999988)</f>
        <v>0.04439166682</v>
      </c>
      <c r="H2" s="4">
        <f t="shared" ref="H2:H20" si="1">LEN(E2)-LEN(SUBSTITUTE(E2,",",""))+1</f>
        <v>1000</v>
      </c>
      <c r="I2" s="4">
        <f>IFERROR(__xludf.DUMMYFUNCTION("COUNTA(UNIQUE(ARRAYFORMULA(VALUE(TRIM(SPLIT(SUBSTITUTE(SUBSTITUTE(F2,""["",""""),""]"",""""),"","")))))) - 1"),16.0)</f>
        <v>16</v>
      </c>
      <c r="J2" s="3" t="s">
        <v>12</v>
      </c>
    </row>
    <row r="3">
      <c r="A3" s="3" t="s">
        <v>335</v>
      </c>
      <c r="B3" s="3">
        <v>0.0</v>
      </c>
      <c r="C3" s="4" t="s">
        <v>234</v>
      </c>
      <c r="D3" s="3" t="s">
        <v>338</v>
      </c>
      <c r="E3" s="3" t="s">
        <v>339</v>
      </c>
      <c r="F3" s="3" t="s">
        <v>281</v>
      </c>
      <c r="G3" s="4">
        <f>IFERROR(__xludf.DUMMYFUNCTION("AVERAGE(ARRAYFORMULA(VALUE(TRIM(SPLIT(SUBSTITUTE(SUBSTITUTE(E3,""["",""""),""]"",""""),"","")))))"),0.025216666830000047)</f>
        <v>0.02521666683</v>
      </c>
      <c r="H3" s="4">
        <f t="shared" si="1"/>
        <v>1000</v>
      </c>
      <c r="I3" s="4">
        <f>IFERROR(__xludf.DUMMYFUNCTION("COUNTA(UNIQUE(ARRAYFORMULA(VALUE(TRIM(SPLIT(SUBSTITUTE(SUBSTITUTE(F3,""["",""""),""]"",""""),"","")))))) - 1"),16.0)</f>
        <v>16</v>
      </c>
      <c r="J3" s="3" t="s">
        <v>15</v>
      </c>
    </row>
    <row r="4">
      <c r="A4" s="3" t="s">
        <v>335</v>
      </c>
      <c r="B4" s="3">
        <v>0.0</v>
      </c>
      <c r="C4" s="4" t="s">
        <v>234</v>
      </c>
      <c r="D4" s="3" t="s">
        <v>340</v>
      </c>
      <c r="E4" s="3" t="s">
        <v>341</v>
      </c>
      <c r="F4" s="3" t="s">
        <v>281</v>
      </c>
      <c r="G4" s="4">
        <f>IFERROR(__xludf.DUMMYFUNCTION("AVERAGE(ARRAYFORMULA(VALUE(TRIM(SPLIT(SUBSTITUTE(SUBSTITUTE(E4,""["",""""),""]"",""""),"","")))))"),0.031033333409999985)</f>
        <v>0.03103333341</v>
      </c>
      <c r="H4" s="4">
        <f t="shared" si="1"/>
        <v>1000</v>
      </c>
      <c r="I4" s="4">
        <f>IFERROR(__xludf.DUMMYFUNCTION("COUNTA(UNIQUE(ARRAYFORMULA(VALUE(TRIM(SPLIT(SUBSTITUTE(SUBSTITUTE(F4,""["",""""),""]"",""""),"","")))))) - 1"),16.0)</f>
        <v>16</v>
      </c>
      <c r="J4" s="3" t="s">
        <v>15</v>
      </c>
    </row>
    <row r="5">
      <c r="A5" s="3" t="s">
        <v>335</v>
      </c>
      <c r="B5" s="3">
        <v>0.0</v>
      </c>
      <c r="C5" s="4" t="s">
        <v>234</v>
      </c>
      <c r="D5" s="3" t="s">
        <v>16</v>
      </c>
      <c r="E5" s="3" t="s">
        <v>284</v>
      </c>
      <c r="F5" s="3" t="s">
        <v>281</v>
      </c>
      <c r="G5" s="4">
        <f>IFERROR(__xludf.DUMMYFUNCTION("AVERAGE(ARRAYFORMULA(VALUE(TRIM(SPLIT(SUBSTITUTE(SUBSTITUTE(E5,""["",""""),""]"",""""),"","")))))"),0.06134166687999991)</f>
        <v>0.06134166688</v>
      </c>
      <c r="H5" s="4">
        <f t="shared" si="1"/>
        <v>1000</v>
      </c>
      <c r="I5" s="4">
        <f>IFERROR(__xludf.DUMMYFUNCTION("COUNTA(UNIQUE(ARRAYFORMULA(VALUE(TRIM(SPLIT(SUBSTITUTE(SUBSTITUTE(F5,""["",""""),""]"",""""),"","")))))) - 1"),16.0)</f>
        <v>16</v>
      </c>
      <c r="J5" s="3" t="s">
        <v>18</v>
      </c>
    </row>
    <row r="6">
      <c r="A6" s="3" t="s">
        <v>335</v>
      </c>
      <c r="B6" s="3">
        <v>0.15</v>
      </c>
      <c r="C6" s="4" t="s">
        <v>234</v>
      </c>
      <c r="D6" s="3" t="s">
        <v>10</v>
      </c>
      <c r="E6" s="3" t="s">
        <v>285</v>
      </c>
      <c r="F6" s="3" t="s">
        <v>281</v>
      </c>
      <c r="G6" s="4">
        <f>IFERROR(__xludf.DUMMYFUNCTION("AVERAGE(ARRAYFORMULA(VALUE(TRIM(SPLIT(SUBSTITUTE(SUBSTITUTE(E6,""["",""""),""]"",""""),"","")))))"),0.13743743748748777)</f>
        <v>0.1374374375</v>
      </c>
      <c r="H6" s="4">
        <f t="shared" si="1"/>
        <v>999</v>
      </c>
      <c r="I6" s="4">
        <f>IFERROR(__xludf.DUMMYFUNCTION("COUNTA(UNIQUE(ARRAYFORMULA(VALUE(TRIM(SPLIT(SUBSTITUTE(SUBSTITUTE(F6,""["",""""),""]"",""""),"","")))))) - 1"),16.0)</f>
        <v>16</v>
      </c>
      <c r="J6" s="3" t="s">
        <v>342</v>
      </c>
    </row>
    <row r="7">
      <c r="A7" s="3" t="s">
        <v>335</v>
      </c>
      <c r="B7" s="3">
        <v>0.15</v>
      </c>
      <c r="C7" s="4" t="s">
        <v>234</v>
      </c>
      <c r="D7" s="3" t="s">
        <v>336</v>
      </c>
      <c r="E7" s="3" t="s">
        <v>343</v>
      </c>
      <c r="F7" s="3" t="s">
        <v>281</v>
      </c>
      <c r="G7" s="4">
        <f>IFERROR(__xludf.DUMMYFUNCTION("AVERAGE(ARRAYFORMULA(VALUE(TRIM(SPLIT(SUBSTITUTE(SUBSTITUTE(E7,""["",""""),""]"",""""),"","")))))"),0.16145624575150339)</f>
        <v>0.1614562458</v>
      </c>
      <c r="H7" s="4">
        <f t="shared" si="1"/>
        <v>998</v>
      </c>
      <c r="I7" s="4">
        <f>IFERROR(__xludf.DUMMYFUNCTION("COUNTA(UNIQUE(ARRAYFORMULA(VALUE(TRIM(SPLIT(SUBSTITUTE(SUBSTITUTE(F7,""["",""""),""]"",""""),"","")))))) - 1"),16.0)</f>
        <v>16</v>
      </c>
      <c r="J7" s="3" t="s">
        <v>344</v>
      </c>
    </row>
    <row r="8">
      <c r="A8" s="3" t="s">
        <v>335</v>
      </c>
      <c r="B8" s="3">
        <v>0.15</v>
      </c>
      <c r="C8" s="4" t="s">
        <v>234</v>
      </c>
      <c r="D8" s="3" t="s">
        <v>338</v>
      </c>
      <c r="E8" s="3" t="s">
        <v>345</v>
      </c>
      <c r="F8" s="3" t="s">
        <v>281</v>
      </c>
      <c r="G8" s="4">
        <f>IFERROR(__xludf.DUMMYFUNCTION("AVERAGE(ARRAYFORMULA(VALUE(TRIM(SPLIT(SUBSTITUTE(SUBSTITUTE(E8,""["",""""),""]"",""""),"","")))))"),0.21041875217217243)</f>
        <v>0.2104187522</v>
      </c>
      <c r="H8" s="4">
        <f t="shared" si="1"/>
        <v>999</v>
      </c>
      <c r="I8" s="4">
        <f>IFERROR(__xludf.DUMMYFUNCTION("COUNTA(UNIQUE(ARRAYFORMULA(VALUE(TRIM(SPLIT(SUBSTITUTE(SUBSTITUTE(F8,""["",""""),""]"",""""),"","")))))) - 1"),16.0)</f>
        <v>16</v>
      </c>
      <c r="J8" s="3" t="s">
        <v>15</v>
      </c>
    </row>
    <row r="9">
      <c r="A9" s="3" t="s">
        <v>335</v>
      </c>
      <c r="B9" s="3">
        <v>0.15</v>
      </c>
      <c r="C9" s="4" t="s">
        <v>234</v>
      </c>
      <c r="D9" s="3" t="s">
        <v>340</v>
      </c>
      <c r="E9" s="3" t="s">
        <v>346</v>
      </c>
      <c r="F9" s="3" t="s">
        <v>281</v>
      </c>
      <c r="G9" s="4">
        <f>IFERROR(__xludf.DUMMYFUNCTION("AVERAGE(ARRAYFORMULA(VALUE(TRIM(SPLIT(SUBSTITUTE(SUBSTITUTE(E9,""["",""""),""]"",""""),"","")))))"),0.2400833333299996)</f>
        <v>0.2400833333</v>
      </c>
      <c r="H9" s="4">
        <f t="shared" si="1"/>
        <v>1000</v>
      </c>
      <c r="I9" s="4">
        <f>IFERROR(__xludf.DUMMYFUNCTION("COUNTA(UNIQUE(ARRAYFORMULA(VALUE(TRIM(SPLIT(SUBSTITUTE(SUBSTITUTE(F9,""["",""""),""]"",""""),"","")))))) - 1"),16.0)</f>
        <v>16</v>
      </c>
      <c r="J9" s="3" t="s">
        <v>12</v>
      </c>
    </row>
    <row r="10">
      <c r="A10" s="3" t="s">
        <v>335</v>
      </c>
      <c r="B10" s="3">
        <v>0.15</v>
      </c>
      <c r="C10" s="4" t="s">
        <v>234</v>
      </c>
      <c r="D10" s="3" t="s">
        <v>16</v>
      </c>
      <c r="E10" s="3" t="s">
        <v>286</v>
      </c>
      <c r="F10" s="3" t="s">
        <v>281</v>
      </c>
      <c r="G10" s="4">
        <f>IFERROR(__xludf.DUMMYFUNCTION("AVERAGE(ARRAYFORMULA(VALUE(TRIM(SPLIT(SUBSTITUTE(SUBSTITUTE(E10,""["",""""),""]"",""""),"","")))))"),0.2878583333099998)</f>
        <v>0.2878583333</v>
      </c>
      <c r="H10" s="4">
        <f t="shared" si="1"/>
        <v>1000</v>
      </c>
      <c r="I10" s="4">
        <f>IFERROR(__xludf.DUMMYFUNCTION("COUNTA(UNIQUE(ARRAYFORMULA(VALUE(TRIM(SPLIT(SUBSTITUTE(SUBSTITUTE(F10,""["",""""),""]"",""""),"","")))))) - 1"),16.0)</f>
        <v>16</v>
      </c>
      <c r="J10" s="3" t="s">
        <v>18</v>
      </c>
    </row>
    <row r="11">
      <c r="A11" s="3" t="s">
        <v>335</v>
      </c>
      <c r="B11" s="3">
        <v>0.5</v>
      </c>
      <c r="C11" s="4" t="s">
        <v>234</v>
      </c>
      <c r="D11" s="3" t="s">
        <v>10</v>
      </c>
      <c r="E11" s="3" t="s">
        <v>287</v>
      </c>
      <c r="F11" s="3" t="s">
        <v>281</v>
      </c>
      <c r="G11" s="4">
        <f>IFERROR(__xludf.DUMMYFUNCTION("AVERAGE(ARRAYFORMULA(VALUE(TRIM(SPLIT(SUBSTITUTE(SUBSTITUTE(E11,""["",""""),""]"",""""),"","")))))"),0.27934601268268205)</f>
        <v>0.2793460127</v>
      </c>
      <c r="H11" s="4">
        <f t="shared" si="1"/>
        <v>999</v>
      </c>
      <c r="I11" s="4">
        <f>IFERROR(__xludf.DUMMYFUNCTION("COUNTA(UNIQUE(ARRAYFORMULA(VALUE(TRIM(SPLIT(SUBSTITUTE(SUBSTITUTE(F11,""["",""""),""]"",""""),"","")))))) - 1"),16.0)</f>
        <v>16</v>
      </c>
      <c r="J11" s="3" t="s">
        <v>344</v>
      </c>
    </row>
    <row r="12">
      <c r="A12" s="3" t="s">
        <v>335</v>
      </c>
      <c r="B12" s="3">
        <v>0.5</v>
      </c>
      <c r="C12" s="4" t="s">
        <v>234</v>
      </c>
      <c r="D12" s="3" t="s">
        <v>336</v>
      </c>
      <c r="E12" s="3" t="s">
        <v>347</v>
      </c>
      <c r="F12" s="3" t="s">
        <v>281</v>
      </c>
      <c r="G12" s="4">
        <f>IFERROR(__xludf.DUMMYFUNCTION("AVERAGE(ARRAYFORMULA(VALUE(TRIM(SPLIT(SUBSTITUTE(SUBSTITUTE(E12,""["",""""),""]"",""""),"","")))))"),0.33089166660000013)</f>
        <v>0.3308916666</v>
      </c>
      <c r="H12" s="4">
        <f t="shared" si="1"/>
        <v>1000</v>
      </c>
      <c r="I12" s="4">
        <f>IFERROR(__xludf.DUMMYFUNCTION("COUNTA(UNIQUE(ARRAYFORMULA(VALUE(TRIM(SPLIT(SUBSTITUTE(SUBSTITUTE(F12,""["",""""),""]"",""""),"","")))))) - 1"),16.0)</f>
        <v>16</v>
      </c>
      <c r="J12" s="3" t="s">
        <v>15</v>
      </c>
    </row>
    <row r="13">
      <c r="A13" s="3" t="s">
        <v>335</v>
      </c>
      <c r="B13" s="3">
        <v>0.5</v>
      </c>
      <c r="C13" s="4" t="s">
        <v>234</v>
      </c>
      <c r="D13" s="3" t="s">
        <v>338</v>
      </c>
      <c r="E13" s="3" t="s">
        <v>348</v>
      </c>
      <c r="F13" s="3" t="s">
        <v>281</v>
      </c>
      <c r="G13" s="4">
        <f>IFERROR(__xludf.DUMMYFUNCTION("AVERAGE(ARRAYFORMULA(VALUE(TRIM(SPLIT(SUBSTITUTE(SUBSTITUTE(E13,""["",""""),""]"",""""),"","")))))"),0.40627293950950927)</f>
        <v>0.4062729395</v>
      </c>
      <c r="H13" s="4">
        <f t="shared" si="1"/>
        <v>999</v>
      </c>
      <c r="I13" s="4">
        <f>IFERROR(__xludf.DUMMYFUNCTION("COUNTA(UNIQUE(ARRAYFORMULA(VALUE(TRIM(SPLIT(SUBSTITUTE(SUBSTITUTE(F13,""["",""""),""]"",""""),"","")))))) - 1"),16.0)</f>
        <v>16</v>
      </c>
      <c r="J13" s="3" t="s">
        <v>12</v>
      </c>
    </row>
    <row r="14">
      <c r="A14" s="3" t="s">
        <v>335</v>
      </c>
      <c r="B14" s="3">
        <v>0.5</v>
      </c>
      <c r="C14" s="4" t="s">
        <v>234</v>
      </c>
      <c r="D14" s="3" t="s">
        <v>340</v>
      </c>
      <c r="E14" s="3" t="s">
        <v>349</v>
      </c>
      <c r="F14" s="3" t="s">
        <v>281</v>
      </c>
      <c r="G14" s="4">
        <f>IFERROR(__xludf.DUMMYFUNCTION("AVERAGE(ARRAYFORMULA(VALUE(TRIM(SPLIT(SUBSTITUTE(SUBSTITUTE(E14,""["",""""),""]"",""""),"","")))))"),0.44194166658999967)</f>
        <v>0.4419416666</v>
      </c>
      <c r="H14" s="4">
        <f t="shared" si="1"/>
        <v>1000</v>
      </c>
      <c r="I14" s="4">
        <f>IFERROR(__xludf.DUMMYFUNCTION("COUNTA(UNIQUE(ARRAYFORMULA(VALUE(TRIM(SPLIT(SUBSTITUTE(SUBSTITUTE(F14,""["",""""),""]"",""""),"","")))))) - 1"),16.0)</f>
        <v>16</v>
      </c>
      <c r="J14" s="3" t="s">
        <v>12</v>
      </c>
    </row>
    <row r="15">
      <c r="A15" s="3" t="s">
        <v>335</v>
      </c>
      <c r="B15" s="3">
        <v>0.5</v>
      </c>
      <c r="C15" s="4" t="s">
        <v>234</v>
      </c>
      <c r="D15" s="3" t="s">
        <v>16</v>
      </c>
      <c r="E15" s="3" t="s">
        <v>288</v>
      </c>
      <c r="F15" s="3" t="s">
        <v>281</v>
      </c>
      <c r="G15" s="4">
        <f>IFERROR(__xludf.DUMMYFUNCTION("AVERAGE(ARRAYFORMULA(VALUE(TRIM(SPLIT(SUBSTITUTE(SUBSTITUTE(E15,""["",""""),""]"",""""),"","")))))"),0.5134249999399993)</f>
        <v>0.5134249999</v>
      </c>
      <c r="H15" s="4">
        <f t="shared" si="1"/>
        <v>1000</v>
      </c>
      <c r="I15" s="4">
        <f>IFERROR(__xludf.DUMMYFUNCTION("COUNTA(UNIQUE(ARRAYFORMULA(VALUE(TRIM(SPLIT(SUBSTITUTE(SUBSTITUTE(F15,""["",""""),""]"",""""),"","")))))) - 1"),16.0)</f>
        <v>16</v>
      </c>
      <c r="J15" s="3" t="s">
        <v>18</v>
      </c>
    </row>
    <row r="16">
      <c r="A16" s="3" t="s">
        <v>335</v>
      </c>
      <c r="B16" s="3">
        <v>1.0</v>
      </c>
      <c r="C16" s="4" t="s">
        <v>234</v>
      </c>
      <c r="D16" s="3" t="s">
        <v>10</v>
      </c>
      <c r="E16" s="3" t="s">
        <v>280</v>
      </c>
      <c r="F16" s="3" t="s">
        <v>281</v>
      </c>
      <c r="G16" s="4">
        <f>IFERROR(__xludf.DUMMYFUNCTION("AVERAGE(ARRAYFORMULA(VALUE(TRIM(SPLIT(SUBSTITUTE(SUBSTITUTE(E16,""["",""""),""]"",""""),"","")))))"),0.4126876876876867)</f>
        <v>0.4126876877</v>
      </c>
      <c r="H16" s="4">
        <f t="shared" si="1"/>
        <v>999</v>
      </c>
      <c r="I16" s="4">
        <f>IFERROR(__xludf.DUMMYFUNCTION("COUNTA(UNIQUE(ARRAYFORMULA(VALUE(TRIM(SPLIT(SUBSTITUTE(SUBSTITUTE(F16,""["",""""),""]"",""""),"","")))))) - 1"),16.0)</f>
        <v>16</v>
      </c>
      <c r="J16" s="3" t="s">
        <v>15</v>
      </c>
    </row>
    <row r="17">
      <c r="A17" s="3" t="s">
        <v>335</v>
      </c>
      <c r="B17" s="3">
        <v>1.0</v>
      </c>
      <c r="C17" s="4" t="s">
        <v>234</v>
      </c>
      <c r="D17" s="3" t="s">
        <v>336</v>
      </c>
      <c r="E17" s="3" t="s">
        <v>350</v>
      </c>
      <c r="F17" s="3" t="s">
        <v>281</v>
      </c>
      <c r="G17" s="4">
        <f>IFERROR(__xludf.DUMMYFUNCTION("AVERAGE(ARRAYFORMULA(VALUE(TRIM(SPLIT(SUBSTITUTE(SUBSTITUTE(E17,""["",""""),""]"",""""),"","")))))"),0.40828328325325264)</f>
        <v>0.4082832833</v>
      </c>
      <c r="H17" s="4">
        <f t="shared" si="1"/>
        <v>999</v>
      </c>
      <c r="I17" s="4">
        <f>IFERROR(__xludf.DUMMYFUNCTION("COUNTA(UNIQUE(ARRAYFORMULA(VALUE(TRIM(SPLIT(SUBSTITUTE(SUBSTITUTE(F17,""["",""""),""]"",""""),"","")))))) - 1"),16.0)</f>
        <v>16</v>
      </c>
      <c r="J17" s="3" t="s">
        <v>15</v>
      </c>
    </row>
    <row r="18">
      <c r="A18" s="3" t="s">
        <v>335</v>
      </c>
      <c r="B18" s="3">
        <v>1.0</v>
      </c>
      <c r="C18" s="4" t="s">
        <v>234</v>
      </c>
      <c r="D18" s="3" t="s">
        <v>338</v>
      </c>
      <c r="E18" s="3" t="s">
        <v>351</v>
      </c>
      <c r="F18" s="3" t="s">
        <v>281</v>
      </c>
      <c r="G18" s="4">
        <f>IFERROR(__xludf.DUMMYFUNCTION("AVERAGE(ARRAYFORMULA(VALUE(TRIM(SPLIT(SUBSTITUTE(SUBSTITUTE(E18,""["",""""),""]"",""""),"","")))))"),0.5050499999099998)</f>
        <v>0.5050499999</v>
      </c>
      <c r="H18" s="4">
        <f t="shared" si="1"/>
        <v>1000</v>
      </c>
      <c r="I18" s="4">
        <f>IFERROR(__xludf.DUMMYFUNCTION("COUNTA(UNIQUE(ARRAYFORMULA(VALUE(TRIM(SPLIT(SUBSTITUTE(SUBSTITUTE(F18,""["",""""),""]"",""""),"","")))))) - 1"),16.0)</f>
        <v>16</v>
      </c>
      <c r="J18" s="3" t="s">
        <v>12</v>
      </c>
    </row>
    <row r="19">
      <c r="A19" s="3" t="s">
        <v>335</v>
      </c>
      <c r="B19" s="3">
        <v>1.0</v>
      </c>
      <c r="C19" s="4" t="s">
        <v>234</v>
      </c>
      <c r="D19" s="3" t="s">
        <v>340</v>
      </c>
      <c r="E19" s="3" t="s">
        <v>352</v>
      </c>
      <c r="F19" s="3" t="s">
        <v>281</v>
      </c>
      <c r="G19" s="4">
        <f>IFERROR(__xludf.DUMMYFUNCTION("AVERAGE(ARRAYFORMULA(VALUE(TRIM(SPLIT(SUBSTITUTE(SUBSTITUTE(E19,""["",""""),""]"",""""),"","")))))"),0.5517702070140275)</f>
        <v>0.551770207</v>
      </c>
      <c r="H19" s="4">
        <f t="shared" si="1"/>
        <v>998</v>
      </c>
      <c r="I19" s="4">
        <f>IFERROR(__xludf.DUMMYFUNCTION("COUNTA(UNIQUE(ARRAYFORMULA(VALUE(TRIM(SPLIT(SUBSTITUTE(SUBSTITUTE(F19,""["",""""),""]"",""""),"","")))))) - 1"),16.0)</f>
        <v>16</v>
      </c>
      <c r="J19" s="3" t="s">
        <v>18</v>
      </c>
    </row>
    <row r="20" ht="15.75" customHeight="1">
      <c r="A20" s="3" t="s">
        <v>335</v>
      </c>
      <c r="B20" s="3">
        <v>1.0</v>
      </c>
      <c r="C20" s="4" t="s">
        <v>234</v>
      </c>
      <c r="D20" s="3" t="s">
        <v>16</v>
      </c>
      <c r="E20" s="3" t="s">
        <v>282</v>
      </c>
      <c r="F20" s="3" t="s">
        <v>281</v>
      </c>
      <c r="G20" s="4">
        <f>IFERROR(__xludf.DUMMYFUNCTION("AVERAGE(ARRAYFORMULA(VALUE(TRIM(SPLIT(SUBSTITUTE(SUBSTITUTE(E20,""["",""""),""]"",""""),"","")))))"),0.5800083332799998)</f>
        <v>0.5800083333</v>
      </c>
      <c r="H20" s="4">
        <f t="shared" si="1"/>
        <v>1000</v>
      </c>
      <c r="I20" s="4">
        <f>IFERROR(__xludf.DUMMYFUNCTION("COUNTA(UNIQUE(ARRAYFORMULA(VALUE(TRIM(SPLIT(SUBSTITUTE(SUBSTITUTE(F20,""["",""""),""]"",""""),"","")))))) - 1"),16.0)</f>
        <v>16</v>
      </c>
      <c r="J20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2.57"/>
    <col customWidth="1" min="3" max="3" width="20.86"/>
    <col customWidth="1" min="4" max="4" width="17.43"/>
    <col customWidth="1" min="5" max="5" width="15.14"/>
    <col customWidth="1" min="6" max="6" width="16.43"/>
    <col customWidth="1" min="7" max="7" width="12.71"/>
    <col customWidth="1" min="8" max="26" width="8.86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3" t="s">
        <v>353</v>
      </c>
      <c r="B2" s="3" t="s">
        <v>354</v>
      </c>
      <c r="C2" s="3" t="s">
        <v>355</v>
      </c>
      <c r="D2" s="3">
        <v>1156.0</v>
      </c>
      <c r="E2" s="3">
        <v>2591.0</v>
      </c>
      <c r="F2" s="4">
        <f t="shared" ref="F2:F21" si="1">D2/E2</f>
        <v>0.4461597839</v>
      </c>
      <c r="G2" s="3" t="s">
        <v>12</v>
      </c>
    </row>
    <row r="3">
      <c r="A3" s="3" t="s">
        <v>353</v>
      </c>
      <c r="B3" s="3" t="s">
        <v>354</v>
      </c>
      <c r="C3" s="3" t="s">
        <v>356</v>
      </c>
      <c r="D3" s="3">
        <v>884.0</v>
      </c>
      <c r="E3" s="3">
        <v>2595.0</v>
      </c>
      <c r="F3" s="4">
        <f t="shared" si="1"/>
        <v>0.340655106</v>
      </c>
      <c r="G3" s="3" t="s">
        <v>15</v>
      </c>
    </row>
    <row r="4">
      <c r="A4" s="3" t="s">
        <v>353</v>
      </c>
      <c r="B4" s="3" t="s">
        <v>354</v>
      </c>
      <c r="C4" s="3" t="s">
        <v>357</v>
      </c>
      <c r="D4" s="3">
        <v>1195.0</v>
      </c>
      <c r="E4" s="3">
        <v>2594.0</v>
      </c>
      <c r="F4" s="4">
        <f t="shared" si="1"/>
        <v>0.4606784888</v>
      </c>
      <c r="G4" s="3" t="s">
        <v>12</v>
      </c>
    </row>
    <row r="5">
      <c r="A5" s="3" t="s">
        <v>353</v>
      </c>
      <c r="B5" s="3" t="s">
        <v>354</v>
      </c>
      <c r="C5" s="3" t="s">
        <v>358</v>
      </c>
      <c r="D5" s="3">
        <v>1406.0</v>
      </c>
      <c r="E5" s="3">
        <v>2593.0</v>
      </c>
      <c r="F5" s="4">
        <f t="shared" si="1"/>
        <v>0.5422290783</v>
      </c>
      <c r="G5" s="3" t="s">
        <v>18</v>
      </c>
    </row>
    <row r="6">
      <c r="A6" s="3" t="s">
        <v>353</v>
      </c>
      <c r="B6" s="3" t="s">
        <v>354</v>
      </c>
      <c r="C6" s="3" t="s">
        <v>359</v>
      </c>
      <c r="D6" s="3">
        <v>807.0</v>
      </c>
      <c r="E6" s="3">
        <v>2588.0</v>
      </c>
      <c r="F6" s="4">
        <f t="shared" si="1"/>
        <v>0.3118238022</v>
      </c>
      <c r="G6" s="3" t="s">
        <v>15</v>
      </c>
    </row>
    <row r="7">
      <c r="A7" s="3" t="s">
        <v>353</v>
      </c>
      <c r="B7" s="3" t="s">
        <v>360</v>
      </c>
      <c r="C7" s="3" t="s">
        <v>355</v>
      </c>
      <c r="D7" s="3">
        <v>203.0</v>
      </c>
      <c r="E7" s="3">
        <v>2586.0</v>
      </c>
      <c r="F7" s="4">
        <f t="shared" si="1"/>
        <v>0.0784996133</v>
      </c>
      <c r="G7" s="3" t="s">
        <v>18</v>
      </c>
    </row>
    <row r="8">
      <c r="A8" s="3" t="s">
        <v>353</v>
      </c>
      <c r="B8" s="3" t="s">
        <v>360</v>
      </c>
      <c r="C8" s="3" t="s">
        <v>356</v>
      </c>
      <c r="D8" s="3">
        <v>224.0</v>
      </c>
      <c r="E8" s="3">
        <v>2581.0</v>
      </c>
      <c r="F8" s="4">
        <f t="shared" si="1"/>
        <v>0.08678806664</v>
      </c>
      <c r="G8" s="3" t="s">
        <v>58</v>
      </c>
    </row>
    <row r="9">
      <c r="A9" s="3" t="s">
        <v>353</v>
      </c>
      <c r="B9" s="3" t="s">
        <v>360</v>
      </c>
      <c r="C9" s="3" t="s">
        <v>357</v>
      </c>
      <c r="D9" s="3">
        <v>281.0</v>
      </c>
      <c r="E9" s="3">
        <v>2592.0</v>
      </c>
      <c r="F9" s="4">
        <f t="shared" si="1"/>
        <v>0.1084104938</v>
      </c>
      <c r="G9" s="3" t="s">
        <v>18</v>
      </c>
    </row>
    <row r="10">
      <c r="A10" s="3" t="s">
        <v>353</v>
      </c>
      <c r="B10" s="3" t="s">
        <v>360</v>
      </c>
      <c r="C10" s="3" t="s">
        <v>358</v>
      </c>
      <c r="D10" s="3">
        <v>294.0</v>
      </c>
      <c r="E10" s="3">
        <v>2572.0</v>
      </c>
      <c r="F10" s="4">
        <f t="shared" si="1"/>
        <v>0.1143079316</v>
      </c>
      <c r="G10" s="3" t="s">
        <v>18</v>
      </c>
    </row>
    <row r="11">
      <c r="A11" s="3" t="s">
        <v>353</v>
      </c>
      <c r="B11" s="3" t="s">
        <v>360</v>
      </c>
      <c r="C11" s="3" t="s">
        <v>359</v>
      </c>
      <c r="D11" s="3">
        <v>196.0</v>
      </c>
      <c r="E11" s="3">
        <v>2578.0</v>
      </c>
      <c r="F11" s="4">
        <f t="shared" si="1"/>
        <v>0.07602792863</v>
      </c>
      <c r="G11" s="3" t="s">
        <v>12</v>
      </c>
    </row>
    <row r="12">
      <c r="A12" s="3" t="s">
        <v>353</v>
      </c>
      <c r="B12" s="3" t="s">
        <v>361</v>
      </c>
      <c r="C12" s="3" t="s">
        <v>355</v>
      </c>
      <c r="D12" s="3">
        <v>21.0</v>
      </c>
      <c r="E12" s="3">
        <v>599.0</v>
      </c>
      <c r="F12" s="4">
        <f t="shared" si="1"/>
        <v>0.03505843072</v>
      </c>
      <c r="G12" s="3" t="s">
        <v>18</v>
      </c>
    </row>
    <row r="13">
      <c r="A13" s="3" t="s">
        <v>353</v>
      </c>
      <c r="B13" s="3" t="s">
        <v>361</v>
      </c>
      <c r="C13" s="3" t="s">
        <v>356</v>
      </c>
      <c r="D13" s="3">
        <v>38.0</v>
      </c>
      <c r="E13" s="3">
        <v>599.0</v>
      </c>
      <c r="F13" s="4">
        <f t="shared" si="1"/>
        <v>0.06343906511</v>
      </c>
      <c r="G13" s="3" t="s">
        <v>18</v>
      </c>
    </row>
    <row r="14">
      <c r="A14" s="3" t="s">
        <v>353</v>
      </c>
      <c r="B14" s="3" t="s">
        <v>361</v>
      </c>
      <c r="C14" s="3" t="s">
        <v>357</v>
      </c>
      <c r="D14" s="3">
        <v>20.0</v>
      </c>
      <c r="E14" s="3">
        <v>600.0</v>
      </c>
      <c r="F14" s="4">
        <f t="shared" si="1"/>
        <v>0.03333333333</v>
      </c>
      <c r="G14" s="3" t="s">
        <v>18</v>
      </c>
    </row>
    <row r="15">
      <c r="A15" s="3" t="s">
        <v>353</v>
      </c>
      <c r="B15" s="3" t="s">
        <v>361</v>
      </c>
      <c r="C15" s="3" t="s">
        <v>358</v>
      </c>
      <c r="D15" s="3">
        <v>32.0</v>
      </c>
      <c r="E15" s="3">
        <v>599.0</v>
      </c>
      <c r="F15" s="4">
        <f t="shared" si="1"/>
        <v>0.05342237062</v>
      </c>
      <c r="G15" s="3" t="s">
        <v>18</v>
      </c>
    </row>
    <row r="16">
      <c r="A16" s="3" t="s">
        <v>353</v>
      </c>
      <c r="B16" s="3" t="s">
        <v>361</v>
      </c>
      <c r="C16" s="3" t="s">
        <v>359</v>
      </c>
      <c r="D16" s="3">
        <v>31.0</v>
      </c>
      <c r="E16" s="3">
        <v>599.0</v>
      </c>
      <c r="F16" s="4">
        <f t="shared" si="1"/>
        <v>0.05175292154</v>
      </c>
      <c r="G16" s="3" t="s">
        <v>18</v>
      </c>
    </row>
    <row r="17">
      <c r="A17" s="3" t="s">
        <v>353</v>
      </c>
      <c r="B17" s="3" t="s">
        <v>362</v>
      </c>
      <c r="C17" s="3" t="s">
        <v>355</v>
      </c>
      <c r="D17" s="3">
        <v>6.0</v>
      </c>
      <c r="E17" s="3">
        <v>597.0</v>
      </c>
      <c r="F17" s="4">
        <f t="shared" si="1"/>
        <v>0.01005025126</v>
      </c>
      <c r="G17" s="3" t="s">
        <v>18</v>
      </c>
    </row>
    <row r="18">
      <c r="A18" s="3" t="s">
        <v>353</v>
      </c>
      <c r="B18" s="3" t="s">
        <v>362</v>
      </c>
      <c r="C18" s="3" t="s">
        <v>356</v>
      </c>
      <c r="D18" s="3">
        <v>11.0</v>
      </c>
      <c r="E18" s="3">
        <v>598.0</v>
      </c>
      <c r="F18" s="4">
        <f t="shared" si="1"/>
        <v>0.01839464883</v>
      </c>
      <c r="G18" s="3" t="s">
        <v>18</v>
      </c>
    </row>
    <row r="19">
      <c r="A19" s="3" t="s">
        <v>353</v>
      </c>
      <c r="B19" s="3" t="s">
        <v>362</v>
      </c>
      <c r="C19" s="3" t="s">
        <v>357</v>
      </c>
      <c r="D19" s="3">
        <v>9.0</v>
      </c>
      <c r="E19" s="3">
        <v>598.0</v>
      </c>
      <c r="F19" s="4">
        <f t="shared" si="1"/>
        <v>0.01505016722</v>
      </c>
      <c r="G19" s="3" t="s">
        <v>18</v>
      </c>
    </row>
    <row r="20">
      <c r="A20" s="3" t="s">
        <v>353</v>
      </c>
      <c r="B20" s="3" t="s">
        <v>362</v>
      </c>
      <c r="C20" s="3" t="s">
        <v>358</v>
      </c>
      <c r="D20" s="3">
        <v>25.0</v>
      </c>
      <c r="E20" s="3">
        <v>597.0</v>
      </c>
      <c r="F20" s="4">
        <f t="shared" si="1"/>
        <v>0.0418760469</v>
      </c>
      <c r="G20" s="3" t="s">
        <v>18</v>
      </c>
    </row>
    <row r="21" ht="15.75" customHeight="1">
      <c r="A21" s="3" t="s">
        <v>353</v>
      </c>
      <c r="B21" s="3" t="s">
        <v>362</v>
      </c>
      <c r="C21" s="3" t="s">
        <v>359</v>
      </c>
      <c r="D21" s="3">
        <v>13.0</v>
      </c>
      <c r="E21" s="3">
        <v>593.0</v>
      </c>
      <c r="F21" s="4">
        <f t="shared" si="1"/>
        <v>0.02192242833</v>
      </c>
      <c r="G21" s="3" t="s">
        <v>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40.43"/>
    <col customWidth="1" min="3" max="3" width="23.43"/>
    <col customWidth="1" min="4" max="5" width="17.0"/>
    <col customWidth="1" min="6" max="6" width="15.86"/>
    <col customWidth="1" min="7" max="7" width="17.14"/>
    <col customWidth="1" min="8" max="8" width="11.71"/>
    <col customWidth="1" min="11" max="28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363</v>
      </c>
      <c r="B2" s="4" t="s">
        <v>175</v>
      </c>
      <c r="C2" s="3" t="s">
        <v>364</v>
      </c>
      <c r="D2" s="10" t="s">
        <v>365</v>
      </c>
      <c r="E2" s="3">
        <f t="shared" ref="E2:E33" si="1">(LEN(D2)-LEN(SUBSTITUTE(D2,"True","")))/4</f>
        <v>123</v>
      </c>
      <c r="F2" s="4">
        <f t="shared" ref="F2:F33" si="2">LEN(D2)-LEN(SUBSTITUTE(D2,",",""))+1</f>
        <v>200</v>
      </c>
      <c r="G2" s="4">
        <f t="shared" ref="G2:G33" si="3">E2/F2</f>
        <v>0.615</v>
      </c>
      <c r="H2" s="4" t="s">
        <v>12</v>
      </c>
    </row>
    <row r="3">
      <c r="A3" s="3" t="s">
        <v>363</v>
      </c>
      <c r="B3" s="4" t="s">
        <v>175</v>
      </c>
      <c r="C3" s="3" t="s">
        <v>366</v>
      </c>
      <c r="D3" s="10" t="s">
        <v>367</v>
      </c>
      <c r="E3" s="3">
        <f t="shared" si="1"/>
        <v>157</v>
      </c>
      <c r="F3" s="4">
        <f t="shared" si="2"/>
        <v>200</v>
      </c>
      <c r="G3" s="4">
        <f t="shared" si="3"/>
        <v>0.785</v>
      </c>
      <c r="H3" s="4" t="s">
        <v>18</v>
      </c>
    </row>
    <row r="4">
      <c r="A4" s="3" t="s">
        <v>363</v>
      </c>
      <c r="B4" s="4" t="s">
        <v>178</v>
      </c>
      <c r="C4" s="3" t="s">
        <v>364</v>
      </c>
      <c r="D4" s="10" t="s">
        <v>368</v>
      </c>
      <c r="E4" s="3">
        <f t="shared" si="1"/>
        <v>71</v>
      </c>
      <c r="F4" s="4">
        <f t="shared" si="2"/>
        <v>200</v>
      </c>
      <c r="G4" s="4">
        <f t="shared" si="3"/>
        <v>0.355</v>
      </c>
      <c r="H4" s="4" t="s">
        <v>18</v>
      </c>
    </row>
    <row r="5">
      <c r="A5" s="3" t="s">
        <v>363</v>
      </c>
      <c r="B5" s="4" t="s">
        <v>178</v>
      </c>
      <c r="C5" s="3" t="s">
        <v>366</v>
      </c>
      <c r="D5" s="10" t="s">
        <v>369</v>
      </c>
      <c r="E5" s="3">
        <f t="shared" si="1"/>
        <v>67</v>
      </c>
      <c r="F5" s="4">
        <f t="shared" si="2"/>
        <v>200</v>
      </c>
      <c r="G5" s="4">
        <f t="shared" si="3"/>
        <v>0.335</v>
      </c>
      <c r="H5" s="4" t="s">
        <v>18</v>
      </c>
    </row>
    <row r="6">
      <c r="A6" s="3" t="s">
        <v>363</v>
      </c>
      <c r="B6" s="4" t="s">
        <v>181</v>
      </c>
      <c r="C6" s="3" t="s">
        <v>364</v>
      </c>
      <c r="D6" s="10" t="s">
        <v>370</v>
      </c>
      <c r="E6" s="3">
        <f t="shared" si="1"/>
        <v>103</v>
      </c>
      <c r="F6" s="4">
        <f t="shared" si="2"/>
        <v>200</v>
      </c>
      <c r="G6" s="4">
        <f t="shared" si="3"/>
        <v>0.515</v>
      </c>
      <c r="H6" s="4" t="s">
        <v>12</v>
      </c>
    </row>
    <row r="7">
      <c r="A7" s="3" t="s">
        <v>363</v>
      </c>
      <c r="B7" s="4" t="s">
        <v>181</v>
      </c>
      <c r="C7" s="3" t="s">
        <v>366</v>
      </c>
      <c r="D7" s="10" t="s">
        <v>371</v>
      </c>
      <c r="E7" s="3">
        <f t="shared" si="1"/>
        <v>124</v>
      </c>
      <c r="F7" s="4">
        <f t="shared" si="2"/>
        <v>200</v>
      </c>
      <c r="G7" s="4">
        <f t="shared" si="3"/>
        <v>0.62</v>
      </c>
      <c r="H7" s="4" t="s">
        <v>18</v>
      </c>
    </row>
    <row r="8">
      <c r="A8" s="3" t="s">
        <v>363</v>
      </c>
      <c r="B8" s="4" t="s">
        <v>184</v>
      </c>
      <c r="C8" s="3" t="s">
        <v>364</v>
      </c>
      <c r="D8" s="10" t="s">
        <v>372</v>
      </c>
      <c r="E8" s="3">
        <f t="shared" si="1"/>
        <v>297</v>
      </c>
      <c r="F8" s="4">
        <f t="shared" si="2"/>
        <v>600</v>
      </c>
      <c r="G8" s="4">
        <f t="shared" si="3"/>
        <v>0.495</v>
      </c>
      <c r="H8" s="4" t="s">
        <v>12</v>
      </c>
    </row>
    <row r="9">
      <c r="A9" s="3" t="s">
        <v>363</v>
      </c>
      <c r="B9" s="4" t="s">
        <v>184</v>
      </c>
      <c r="C9" s="3" t="s">
        <v>366</v>
      </c>
      <c r="D9" s="10" t="s">
        <v>373</v>
      </c>
      <c r="E9" s="3">
        <f t="shared" si="1"/>
        <v>348</v>
      </c>
      <c r="F9" s="4">
        <f t="shared" si="2"/>
        <v>600</v>
      </c>
      <c r="G9" s="4">
        <f t="shared" si="3"/>
        <v>0.58</v>
      </c>
      <c r="H9" s="4" t="s">
        <v>18</v>
      </c>
    </row>
    <row r="10">
      <c r="A10" s="3" t="s">
        <v>374</v>
      </c>
      <c r="B10" s="4" t="s">
        <v>175</v>
      </c>
      <c r="C10" s="3" t="s">
        <v>364</v>
      </c>
      <c r="D10" s="10" t="s">
        <v>375</v>
      </c>
      <c r="E10" s="3">
        <f t="shared" si="1"/>
        <v>101</v>
      </c>
      <c r="F10" s="4">
        <f t="shared" si="2"/>
        <v>200</v>
      </c>
      <c r="G10" s="4">
        <f t="shared" si="3"/>
        <v>0.505</v>
      </c>
      <c r="H10" s="4" t="s">
        <v>12</v>
      </c>
    </row>
    <row r="11">
      <c r="A11" s="3" t="s">
        <v>374</v>
      </c>
      <c r="B11" s="4" t="s">
        <v>175</v>
      </c>
      <c r="C11" s="3" t="s">
        <v>366</v>
      </c>
      <c r="D11" s="10" t="s">
        <v>376</v>
      </c>
      <c r="E11" s="3">
        <f t="shared" si="1"/>
        <v>145</v>
      </c>
      <c r="F11" s="4">
        <f t="shared" si="2"/>
        <v>200</v>
      </c>
      <c r="G11" s="4">
        <f t="shared" si="3"/>
        <v>0.725</v>
      </c>
      <c r="H11" s="4" t="s">
        <v>18</v>
      </c>
    </row>
    <row r="12">
      <c r="A12" s="3" t="s">
        <v>374</v>
      </c>
      <c r="B12" s="4" t="s">
        <v>178</v>
      </c>
      <c r="C12" s="3" t="s">
        <v>364</v>
      </c>
      <c r="D12" s="10" t="s">
        <v>377</v>
      </c>
      <c r="E12" s="3">
        <f t="shared" si="1"/>
        <v>5</v>
      </c>
      <c r="F12" s="4">
        <f t="shared" si="2"/>
        <v>200</v>
      </c>
      <c r="G12" s="4">
        <f t="shared" si="3"/>
        <v>0.025</v>
      </c>
      <c r="H12" s="4" t="s">
        <v>12</v>
      </c>
    </row>
    <row r="13">
      <c r="A13" s="3" t="s">
        <v>374</v>
      </c>
      <c r="B13" s="4" t="s">
        <v>178</v>
      </c>
      <c r="C13" s="3" t="s">
        <v>366</v>
      </c>
      <c r="D13" s="10" t="s">
        <v>378</v>
      </c>
      <c r="E13" s="3">
        <f t="shared" si="1"/>
        <v>40</v>
      </c>
      <c r="F13" s="4">
        <f t="shared" si="2"/>
        <v>200</v>
      </c>
      <c r="G13" s="4">
        <f t="shared" si="3"/>
        <v>0.2</v>
      </c>
      <c r="H13" s="4" t="s">
        <v>18</v>
      </c>
    </row>
    <row r="14">
      <c r="A14" s="3" t="s">
        <v>374</v>
      </c>
      <c r="B14" s="4" t="s">
        <v>181</v>
      </c>
      <c r="C14" s="3" t="s">
        <v>364</v>
      </c>
      <c r="D14" s="10" t="s">
        <v>379</v>
      </c>
      <c r="E14" s="3">
        <f t="shared" si="1"/>
        <v>75</v>
      </c>
      <c r="F14" s="4">
        <f t="shared" si="2"/>
        <v>200</v>
      </c>
      <c r="G14" s="4">
        <f t="shared" si="3"/>
        <v>0.375</v>
      </c>
      <c r="H14" s="4" t="s">
        <v>12</v>
      </c>
    </row>
    <row r="15">
      <c r="A15" s="3" t="s">
        <v>374</v>
      </c>
      <c r="B15" s="4" t="s">
        <v>181</v>
      </c>
      <c r="C15" s="3" t="s">
        <v>366</v>
      </c>
      <c r="D15" s="10" t="s">
        <v>380</v>
      </c>
      <c r="E15" s="3">
        <f t="shared" si="1"/>
        <v>115</v>
      </c>
      <c r="F15" s="4">
        <f t="shared" si="2"/>
        <v>200</v>
      </c>
      <c r="G15" s="4">
        <f t="shared" si="3"/>
        <v>0.575</v>
      </c>
      <c r="H15" s="4" t="s">
        <v>18</v>
      </c>
    </row>
    <row r="16">
      <c r="A16" s="3" t="s">
        <v>374</v>
      </c>
      <c r="B16" s="4" t="s">
        <v>194</v>
      </c>
      <c r="C16" s="3" t="s">
        <v>364</v>
      </c>
      <c r="D16" s="10" t="s">
        <v>381</v>
      </c>
      <c r="E16" s="3">
        <f t="shared" si="1"/>
        <v>181</v>
      </c>
      <c r="F16" s="4">
        <f t="shared" si="2"/>
        <v>600</v>
      </c>
      <c r="G16" s="4">
        <f t="shared" si="3"/>
        <v>0.3016666667</v>
      </c>
      <c r="H16" s="4" t="s">
        <v>12</v>
      </c>
    </row>
    <row r="17">
      <c r="A17" s="3" t="s">
        <v>374</v>
      </c>
      <c r="B17" s="4" t="s">
        <v>194</v>
      </c>
      <c r="C17" s="3" t="s">
        <v>366</v>
      </c>
      <c r="D17" s="10" t="s">
        <v>382</v>
      </c>
      <c r="E17" s="3">
        <f t="shared" si="1"/>
        <v>300</v>
      </c>
      <c r="F17" s="4">
        <f t="shared" si="2"/>
        <v>600</v>
      </c>
      <c r="G17" s="4">
        <f t="shared" si="3"/>
        <v>0.5</v>
      </c>
      <c r="H17" s="4" t="s">
        <v>18</v>
      </c>
    </row>
    <row r="18">
      <c r="A18" s="3" t="s">
        <v>383</v>
      </c>
      <c r="B18" s="4" t="s">
        <v>175</v>
      </c>
      <c r="C18" s="3" t="s">
        <v>384</v>
      </c>
      <c r="D18" s="10" t="s">
        <v>385</v>
      </c>
      <c r="E18" s="3">
        <f t="shared" si="1"/>
        <v>112</v>
      </c>
      <c r="F18" s="4">
        <f t="shared" si="2"/>
        <v>200</v>
      </c>
      <c r="G18" s="4">
        <f t="shared" si="3"/>
        <v>0.56</v>
      </c>
      <c r="H18" s="4" t="s">
        <v>12</v>
      </c>
    </row>
    <row r="19">
      <c r="A19" s="3" t="s">
        <v>383</v>
      </c>
      <c r="B19" s="4" t="s">
        <v>175</v>
      </c>
      <c r="C19" s="3" t="s">
        <v>386</v>
      </c>
      <c r="D19" s="10" t="s">
        <v>387</v>
      </c>
      <c r="E19" s="3">
        <f t="shared" si="1"/>
        <v>167</v>
      </c>
      <c r="F19" s="4">
        <f t="shared" si="2"/>
        <v>200</v>
      </c>
      <c r="G19" s="4">
        <f t="shared" si="3"/>
        <v>0.835</v>
      </c>
      <c r="H19" s="4" t="s">
        <v>18</v>
      </c>
    </row>
    <row r="20">
      <c r="A20" s="3" t="s">
        <v>383</v>
      </c>
      <c r="B20" s="4" t="s">
        <v>178</v>
      </c>
      <c r="C20" s="3" t="s">
        <v>384</v>
      </c>
      <c r="D20" s="10" t="s">
        <v>388</v>
      </c>
      <c r="E20" s="3">
        <f t="shared" si="1"/>
        <v>129</v>
      </c>
      <c r="F20" s="4">
        <f t="shared" si="2"/>
        <v>200</v>
      </c>
      <c r="G20" s="4">
        <f t="shared" si="3"/>
        <v>0.645</v>
      </c>
      <c r="H20" s="4" t="s">
        <v>18</v>
      </c>
    </row>
    <row r="21" ht="15.75" customHeight="1">
      <c r="A21" s="3" t="s">
        <v>383</v>
      </c>
      <c r="B21" s="4" t="s">
        <v>178</v>
      </c>
      <c r="C21" s="3" t="s">
        <v>386</v>
      </c>
      <c r="D21" s="10" t="s">
        <v>389</v>
      </c>
      <c r="E21" s="3">
        <f t="shared" si="1"/>
        <v>124</v>
      </c>
      <c r="F21" s="4">
        <f t="shared" si="2"/>
        <v>200</v>
      </c>
      <c r="G21" s="4">
        <f t="shared" si="3"/>
        <v>0.62</v>
      </c>
      <c r="H21" s="4" t="s">
        <v>18</v>
      </c>
    </row>
    <row r="22" ht="15.75" customHeight="1">
      <c r="A22" s="3" t="s">
        <v>383</v>
      </c>
      <c r="B22" s="4" t="s">
        <v>181</v>
      </c>
      <c r="C22" s="3" t="s">
        <v>384</v>
      </c>
      <c r="D22" s="10" t="s">
        <v>390</v>
      </c>
      <c r="E22" s="3">
        <f t="shared" si="1"/>
        <v>91</v>
      </c>
      <c r="F22" s="4">
        <f t="shared" si="2"/>
        <v>200</v>
      </c>
      <c r="G22" s="4">
        <f t="shared" si="3"/>
        <v>0.455</v>
      </c>
      <c r="H22" s="4" t="s">
        <v>18</v>
      </c>
    </row>
    <row r="23" ht="15.75" customHeight="1">
      <c r="A23" s="3" t="s">
        <v>383</v>
      </c>
      <c r="B23" s="4" t="s">
        <v>181</v>
      </c>
      <c r="C23" s="3" t="s">
        <v>386</v>
      </c>
      <c r="D23" s="10" t="s">
        <v>391</v>
      </c>
      <c r="E23" s="3">
        <f t="shared" si="1"/>
        <v>106</v>
      </c>
      <c r="F23" s="4">
        <f t="shared" si="2"/>
        <v>200</v>
      </c>
      <c r="G23" s="4">
        <f t="shared" si="3"/>
        <v>0.53</v>
      </c>
      <c r="H23" s="4" t="s">
        <v>18</v>
      </c>
    </row>
    <row r="24" ht="15.75" customHeight="1">
      <c r="A24" s="3" t="s">
        <v>383</v>
      </c>
      <c r="B24" s="4" t="s">
        <v>184</v>
      </c>
      <c r="C24" s="3" t="s">
        <v>384</v>
      </c>
      <c r="D24" s="10" t="s">
        <v>392</v>
      </c>
      <c r="E24" s="3">
        <f t="shared" si="1"/>
        <v>332</v>
      </c>
      <c r="F24" s="4">
        <f t="shared" si="2"/>
        <v>600</v>
      </c>
      <c r="G24" s="4">
        <f t="shared" si="3"/>
        <v>0.5533333333</v>
      </c>
      <c r="H24" s="4" t="s">
        <v>12</v>
      </c>
    </row>
    <row r="25" ht="15.75" customHeight="1">
      <c r="A25" s="3" t="s">
        <v>383</v>
      </c>
      <c r="B25" s="4" t="s">
        <v>184</v>
      </c>
      <c r="C25" s="3" t="s">
        <v>386</v>
      </c>
      <c r="D25" s="10" t="s">
        <v>393</v>
      </c>
      <c r="E25" s="3">
        <f t="shared" si="1"/>
        <v>397</v>
      </c>
      <c r="F25" s="4">
        <f t="shared" si="2"/>
        <v>600</v>
      </c>
      <c r="G25" s="4">
        <f t="shared" si="3"/>
        <v>0.6616666667</v>
      </c>
      <c r="H25" s="4" t="s">
        <v>18</v>
      </c>
    </row>
    <row r="26" ht="15.75" customHeight="1">
      <c r="A26" s="3" t="s">
        <v>394</v>
      </c>
      <c r="B26" s="4" t="s">
        <v>175</v>
      </c>
      <c r="C26" s="3" t="s">
        <v>384</v>
      </c>
      <c r="D26" s="10" t="s">
        <v>395</v>
      </c>
      <c r="E26" s="3">
        <f t="shared" si="1"/>
        <v>24</v>
      </c>
      <c r="F26" s="4">
        <f t="shared" si="2"/>
        <v>200</v>
      </c>
      <c r="G26" s="4">
        <f t="shared" si="3"/>
        <v>0.12</v>
      </c>
      <c r="H26" s="4" t="s">
        <v>12</v>
      </c>
    </row>
    <row r="27" ht="15.75" customHeight="1">
      <c r="A27" s="3" t="s">
        <v>394</v>
      </c>
      <c r="B27" s="4" t="s">
        <v>175</v>
      </c>
      <c r="C27" s="3" t="s">
        <v>386</v>
      </c>
      <c r="D27" s="10" t="s">
        <v>396</v>
      </c>
      <c r="E27" s="3">
        <f t="shared" si="1"/>
        <v>138</v>
      </c>
      <c r="F27" s="4">
        <f t="shared" si="2"/>
        <v>200</v>
      </c>
      <c r="G27" s="4">
        <f t="shared" si="3"/>
        <v>0.69</v>
      </c>
      <c r="H27" s="4" t="s">
        <v>18</v>
      </c>
    </row>
    <row r="28" ht="15.75" customHeight="1">
      <c r="A28" s="3" t="s">
        <v>394</v>
      </c>
      <c r="B28" s="4" t="s">
        <v>178</v>
      </c>
      <c r="C28" s="3" t="s">
        <v>384</v>
      </c>
      <c r="D28" s="10" t="s">
        <v>397</v>
      </c>
      <c r="E28" s="3">
        <f t="shared" si="1"/>
        <v>9</v>
      </c>
      <c r="F28" s="4">
        <f t="shared" si="2"/>
        <v>200</v>
      </c>
      <c r="G28" s="4">
        <f t="shared" si="3"/>
        <v>0.045</v>
      </c>
      <c r="H28" s="4" t="s">
        <v>12</v>
      </c>
    </row>
    <row r="29" ht="15.75" customHeight="1">
      <c r="A29" s="3" t="s">
        <v>394</v>
      </c>
      <c r="B29" s="4" t="s">
        <v>178</v>
      </c>
      <c r="C29" s="3" t="s">
        <v>386</v>
      </c>
      <c r="D29" s="10" t="s">
        <v>398</v>
      </c>
      <c r="E29" s="3">
        <f t="shared" si="1"/>
        <v>23</v>
      </c>
      <c r="F29" s="4">
        <f t="shared" si="2"/>
        <v>200</v>
      </c>
      <c r="G29" s="4">
        <f t="shared" si="3"/>
        <v>0.115</v>
      </c>
      <c r="H29" s="4" t="s">
        <v>18</v>
      </c>
    </row>
    <row r="30" ht="15.75" customHeight="1">
      <c r="A30" s="3" t="s">
        <v>394</v>
      </c>
      <c r="B30" s="4" t="s">
        <v>181</v>
      </c>
      <c r="C30" s="3" t="s">
        <v>384</v>
      </c>
      <c r="D30" s="10" t="s">
        <v>399</v>
      </c>
      <c r="E30" s="3">
        <f t="shared" si="1"/>
        <v>50</v>
      </c>
      <c r="F30" s="4">
        <f t="shared" si="2"/>
        <v>200</v>
      </c>
      <c r="G30" s="4">
        <f t="shared" si="3"/>
        <v>0.25</v>
      </c>
      <c r="H30" s="4" t="s">
        <v>12</v>
      </c>
    </row>
    <row r="31" ht="15.75" customHeight="1">
      <c r="A31" s="3" t="s">
        <v>394</v>
      </c>
      <c r="B31" s="4" t="s">
        <v>181</v>
      </c>
      <c r="C31" s="3" t="s">
        <v>386</v>
      </c>
      <c r="D31" s="10" t="s">
        <v>400</v>
      </c>
      <c r="E31" s="3">
        <f t="shared" si="1"/>
        <v>69</v>
      </c>
      <c r="F31" s="4">
        <f t="shared" si="2"/>
        <v>200</v>
      </c>
      <c r="G31" s="4">
        <f t="shared" si="3"/>
        <v>0.345</v>
      </c>
      <c r="H31" s="4" t="s">
        <v>18</v>
      </c>
    </row>
    <row r="32" ht="15.75" customHeight="1">
      <c r="A32" s="3" t="s">
        <v>394</v>
      </c>
      <c r="B32" s="4" t="s">
        <v>194</v>
      </c>
      <c r="C32" s="3" t="s">
        <v>384</v>
      </c>
      <c r="D32" s="10" t="s">
        <v>401</v>
      </c>
      <c r="E32" s="3">
        <f t="shared" si="1"/>
        <v>83</v>
      </c>
      <c r="F32" s="4">
        <f t="shared" si="2"/>
        <v>600</v>
      </c>
      <c r="G32" s="4">
        <f t="shared" si="3"/>
        <v>0.1383333333</v>
      </c>
      <c r="H32" s="4" t="s">
        <v>12</v>
      </c>
    </row>
    <row r="33" ht="15.75" customHeight="1">
      <c r="A33" s="3" t="s">
        <v>394</v>
      </c>
      <c r="B33" s="4" t="s">
        <v>194</v>
      </c>
      <c r="C33" s="3" t="s">
        <v>386</v>
      </c>
      <c r="D33" s="10" t="s">
        <v>402</v>
      </c>
      <c r="E33" s="3">
        <f t="shared" si="1"/>
        <v>230</v>
      </c>
      <c r="F33" s="4">
        <f t="shared" si="2"/>
        <v>600</v>
      </c>
      <c r="G33" s="4">
        <f t="shared" si="3"/>
        <v>0.3833333333</v>
      </c>
      <c r="H33" s="4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41.14"/>
    <col customWidth="1" min="3" max="3" width="25.14"/>
    <col customWidth="1" min="4" max="4" width="17.57"/>
    <col customWidth="1" min="5" max="5" width="15.71"/>
    <col customWidth="1" min="6" max="6" width="17.29"/>
    <col customWidth="1" min="7" max="7" width="16.29"/>
    <col customWidth="1" min="8" max="8" width="13.29"/>
    <col customWidth="1" min="10" max="28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403</v>
      </c>
      <c r="B2" s="4" t="s">
        <v>215</v>
      </c>
      <c r="C2" s="3" t="s">
        <v>364</v>
      </c>
      <c r="D2" s="10" t="s">
        <v>404</v>
      </c>
      <c r="E2" s="4">
        <f t="shared" ref="E2:E25" si="1">(LEN(D2)-LEN(SUBSTITUTE(D2,"True","")))/4</f>
        <v>17</v>
      </c>
      <c r="F2" s="4">
        <f t="shared" ref="F2:F25" si="2">LEN(D2)-LEN(SUBSTITUTE(D2,",",""))+1</f>
        <v>200</v>
      </c>
      <c r="G2" s="4">
        <v>0.085</v>
      </c>
      <c r="H2" s="4" t="s">
        <v>12</v>
      </c>
    </row>
    <row r="3">
      <c r="A3" s="3" t="s">
        <v>403</v>
      </c>
      <c r="B3" s="4" t="s">
        <v>215</v>
      </c>
      <c r="C3" s="3" t="s">
        <v>366</v>
      </c>
      <c r="D3" s="10" t="s">
        <v>405</v>
      </c>
      <c r="E3" s="4">
        <f t="shared" si="1"/>
        <v>47</v>
      </c>
      <c r="F3" s="4">
        <f t="shared" si="2"/>
        <v>200</v>
      </c>
      <c r="G3" s="4">
        <v>0.235</v>
      </c>
      <c r="H3" s="4" t="s">
        <v>18</v>
      </c>
    </row>
    <row r="4">
      <c r="A4" s="3" t="s">
        <v>403</v>
      </c>
      <c r="B4" s="4" t="s">
        <v>218</v>
      </c>
      <c r="C4" s="3" t="s">
        <v>364</v>
      </c>
      <c r="D4" s="10" t="s">
        <v>406</v>
      </c>
      <c r="E4" s="4">
        <f t="shared" si="1"/>
        <v>37</v>
      </c>
      <c r="F4" s="4">
        <f t="shared" si="2"/>
        <v>200</v>
      </c>
      <c r="G4" s="4">
        <v>0.185</v>
      </c>
      <c r="H4" s="4" t="s">
        <v>18</v>
      </c>
    </row>
    <row r="5">
      <c r="A5" s="3" t="s">
        <v>403</v>
      </c>
      <c r="B5" s="4" t="s">
        <v>218</v>
      </c>
      <c r="C5" s="3" t="s">
        <v>366</v>
      </c>
      <c r="D5" s="10" t="s">
        <v>407</v>
      </c>
      <c r="E5" s="4">
        <f t="shared" si="1"/>
        <v>34</v>
      </c>
      <c r="F5" s="4">
        <f t="shared" si="2"/>
        <v>200</v>
      </c>
      <c r="G5" s="4">
        <v>0.17</v>
      </c>
      <c r="H5" s="4" t="s">
        <v>18</v>
      </c>
    </row>
    <row r="6">
      <c r="A6" s="3" t="s">
        <v>403</v>
      </c>
      <c r="B6" s="4" t="s">
        <v>221</v>
      </c>
      <c r="C6" s="3" t="s">
        <v>364</v>
      </c>
      <c r="D6" s="10" t="s">
        <v>408</v>
      </c>
      <c r="E6" s="4">
        <f t="shared" si="1"/>
        <v>17</v>
      </c>
      <c r="F6" s="4">
        <f t="shared" si="2"/>
        <v>200</v>
      </c>
      <c r="G6" s="4">
        <v>0.085</v>
      </c>
      <c r="H6" s="4" t="s">
        <v>12</v>
      </c>
    </row>
    <row r="7">
      <c r="A7" s="3" t="s">
        <v>403</v>
      </c>
      <c r="B7" s="4" t="s">
        <v>221</v>
      </c>
      <c r="C7" s="3" t="s">
        <v>366</v>
      </c>
      <c r="D7" s="10" t="s">
        <v>409</v>
      </c>
      <c r="E7" s="4">
        <f t="shared" si="1"/>
        <v>72</v>
      </c>
      <c r="F7" s="4">
        <f t="shared" si="2"/>
        <v>200</v>
      </c>
      <c r="G7" s="4">
        <v>0.36</v>
      </c>
      <c r="H7" s="4" t="s">
        <v>18</v>
      </c>
    </row>
    <row r="8">
      <c r="A8" s="3" t="s">
        <v>403</v>
      </c>
      <c r="B8" s="4" t="s">
        <v>224</v>
      </c>
      <c r="C8" s="3" t="s">
        <v>364</v>
      </c>
      <c r="D8" s="10" t="s">
        <v>410</v>
      </c>
      <c r="E8" s="4">
        <f t="shared" si="1"/>
        <v>7</v>
      </c>
      <c r="F8" s="4">
        <f t="shared" si="2"/>
        <v>200</v>
      </c>
      <c r="G8" s="4">
        <v>0.035</v>
      </c>
      <c r="H8" s="4" t="s">
        <v>12</v>
      </c>
    </row>
    <row r="9" ht="15.75" customHeight="1">
      <c r="A9" s="3" t="s">
        <v>403</v>
      </c>
      <c r="B9" s="4" t="s">
        <v>224</v>
      </c>
      <c r="C9" s="3" t="s">
        <v>366</v>
      </c>
      <c r="D9" s="10" t="s">
        <v>411</v>
      </c>
      <c r="E9" s="4">
        <f t="shared" si="1"/>
        <v>39</v>
      </c>
      <c r="F9" s="4">
        <f t="shared" si="2"/>
        <v>200</v>
      </c>
      <c r="G9" s="4">
        <v>0.195</v>
      </c>
      <c r="H9" s="4" t="s">
        <v>18</v>
      </c>
    </row>
    <row r="10" ht="15.75" customHeight="1">
      <c r="A10" s="3" t="s">
        <v>403</v>
      </c>
      <c r="B10" s="4" t="s">
        <v>227</v>
      </c>
      <c r="C10" s="3" t="s">
        <v>364</v>
      </c>
      <c r="D10" s="10" t="s">
        <v>412</v>
      </c>
      <c r="E10" s="4">
        <f t="shared" si="1"/>
        <v>93</v>
      </c>
      <c r="F10" s="4">
        <f t="shared" si="2"/>
        <v>200</v>
      </c>
      <c r="G10" s="4">
        <v>0.465</v>
      </c>
      <c r="H10" s="4" t="s">
        <v>18</v>
      </c>
    </row>
    <row r="11" ht="15.75" customHeight="1">
      <c r="A11" s="3" t="s">
        <v>403</v>
      </c>
      <c r="B11" s="4" t="s">
        <v>227</v>
      </c>
      <c r="C11" s="3" t="s">
        <v>366</v>
      </c>
      <c r="D11" s="10" t="s">
        <v>413</v>
      </c>
      <c r="E11" s="4">
        <f t="shared" si="1"/>
        <v>84</v>
      </c>
      <c r="F11" s="4">
        <f t="shared" si="2"/>
        <v>200</v>
      </c>
      <c r="G11" s="4">
        <v>0.42</v>
      </c>
      <c r="H11" s="4" t="s">
        <v>18</v>
      </c>
    </row>
    <row r="12" ht="15.75" customHeight="1">
      <c r="A12" s="3" t="s">
        <v>403</v>
      </c>
      <c r="B12" s="4" t="s">
        <v>94</v>
      </c>
      <c r="C12" s="3" t="s">
        <v>364</v>
      </c>
      <c r="D12" s="10" t="s">
        <v>414</v>
      </c>
      <c r="E12" s="4">
        <f t="shared" si="1"/>
        <v>171</v>
      </c>
      <c r="F12" s="4">
        <f t="shared" si="2"/>
        <v>1000</v>
      </c>
      <c r="G12" s="4">
        <v>0.171</v>
      </c>
      <c r="H12" s="4" t="s">
        <v>12</v>
      </c>
    </row>
    <row r="13" ht="15.75" customHeight="1">
      <c r="A13" s="3" t="s">
        <v>403</v>
      </c>
      <c r="B13" s="4" t="s">
        <v>94</v>
      </c>
      <c r="C13" s="3" t="s">
        <v>366</v>
      </c>
      <c r="D13" s="10" t="s">
        <v>415</v>
      </c>
      <c r="E13" s="4">
        <f t="shared" si="1"/>
        <v>276</v>
      </c>
      <c r="F13" s="4">
        <f t="shared" si="2"/>
        <v>1000</v>
      </c>
      <c r="G13" s="4">
        <v>0.276</v>
      </c>
      <c r="H13" s="4" t="s">
        <v>18</v>
      </c>
    </row>
    <row r="14" ht="15.75" customHeight="1">
      <c r="A14" s="3" t="s">
        <v>416</v>
      </c>
      <c r="B14" s="4" t="s">
        <v>215</v>
      </c>
      <c r="C14" s="3" t="s">
        <v>417</v>
      </c>
      <c r="D14" s="10" t="s">
        <v>418</v>
      </c>
      <c r="E14" s="4">
        <f t="shared" si="1"/>
        <v>9</v>
      </c>
      <c r="F14" s="4">
        <f t="shared" si="2"/>
        <v>200</v>
      </c>
      <c r="G14" s="4">
        <v>0.045</v>
      </c>
      <c r="H14" s="4" t="s">
        <v>12</v>
      </c>
    </row>
    <row r="15" ht="15.75" customHeight="1">
      <c r="A15" s="3" t="s">
        <v>416</v>
      </c>
      <c r="B15" s="4" t="s">
        <v>215</v>
      </c>
      <c r="C15" s="3" t="s">
        <v>419</v>
      </c>
      <c r="D15" s="10" t="s">
        <v>420</v>
      </c>
      <c r="E15" s="4">
        <f t="shared" si="1"/>
        <v>28</v>
      </c>
      <c r="F15" s="4">
        <f t="shared" si="2"/>
        <v>200</v>
      </c>
      <c r="G15" s="4">
        <v>0.14</v>
      </c>
      <c r="H15" s="4" t="s">
        <v>18</v>
      </c>
    </row>
    <row r="16" ht="15.75" customHeight="1">
      <c r="A16" s="3" t="s">
        <v>416</v>
      </c>
      <c r="B16" s="4" t="s">
        <v>218</v>
      </c>
      <c r="C16" s="3" t="s">
        <v>417</v>
      </c>
      <c r="D16" s="10" t="s">
        <v>421</v>
      </c>
      <c r="E16" s="4">
        <f t="shared" si="1"/>
        <v>14</v>
      </c>
      <c r="F16" s="4">
        <f t="shared" si="2"/>
        <v>200</v>
      </c>
      <c r="G16" s="4">
        <v>0.07</v>
      </c>
      <c r="H16" s="4" t="s">
        <v>12</v>
      </c>
    </row>
    <row r="17" ht="15.75" customHeight="1">
      <c r="A17" s="3" t="s">
        <v>416</v>
      </c>
      <c r="B17" s="4" t="s">
        <v>218</v>
      </c>
      <c r="C17" s="3" t="s">
        <v>419</v>
      </c>
      <c r="D17" s="10" t="s">
        <v>422</v>
      </c>
      <c r="E17" s="4">
        <f t="shared" si="1"/>
        <v>35</v>
      </c>
      <c r="F17" s="4">
        <f t="shared" si="2"/>
        <v>200</v>
      </c>
      <c r="G17" s="4">
        <v>0.175</v>
      </c>
      <c r="H17" s="4" t="s">
        <v>18</v>
      </c>
    </row>
    <row r="18" ht="15.75" customHeight="1">
      <c r="A18" s="3" t="s">
        <v>416</v>
      </c>
      <c r="B18" s="4" t="s">
        <v>221</v>
      </c>
      <c r="C18" s="3" t="s">
        <v>417</v>
      </c>
      <c r="D18" s="10" t="s">
        <v>423</v>
      </c>
      <c r="E18" s="4">
        <f t="shared" si="1"/>
        <v>32</v>
      </c>
      <c r="F18" s="4">
        <f t="shared" si="2"/>
        <v>200</v>
      </c>
      <c r="G18" s="4">
        <v>0.16</v>
      </c>
      <c r="H18" s="4" t="s">
        <v>18</v>
      </c>
    </row>
    <row r="19" ht="15.75" customHeight="1">
      <c r="A19" s="3" t="s">
        <v>416</v>
      </c>
      <c r="B19" s="4" t="s">
        <v>221</v>
      </c>
      <c r="C19" s="3" t="s">
        <v>419</v>
      </c>
      <c r="D19" s="10" t="s">
        <v>424</v>
      </c>
      <c r="E19" s="4">
        <f t="shared" si="1"/>
        <v>45</v>
      </c>
      <c r="F19" s="4">
        <f t="shared" si="2"/>
        <v>200</v>
      </c>
      <c r="G19" s="4">
        <v>0.225</v>
      </c>
      <c r="H19" s="4" t="s">
        <v>18</v>
      </c>
    </row>
    <row r="20" ht="15.75" customHeight="1">
      <c r="A20" s="3" t="s">
        <v>416</v>
      </c>
      <c r="B20" s="4" t="s">
        <v>224</v>
      </c>
      <c r="C20" s="3" t="s">
        <v>417</v>
      </c>
      <c r="D20" s="10" t="s">
        <v>425</v>
      </c>
      <c r="E20" s="4">
        <f t="shared" si="1"/>
        <v>13</v>
      </c>
      <c r="F20" s="4">
        <f t="shared" si="2"/>
        <v>200</v>
      </c>
      <c r="G20" s="4">
        <v>0.065</v>
      </c>
      <c r="H20" s="4" t="s">
        <v>12</v>
      </c>
    </row>
    <row r="21" ht="15.75" customHeight="1">
      <c r="A21" s="3" t="s">
        <v>416</v>
      </c>
      <c r="B21" s="4" t="s">
        <v>224</v>
      </c>
      <c r="C21" s="3" t="s">
        <v>419</v>
      </c>
      <c r="D21" s="10" t="s">
        <v>426</v>
      </c>
      <c r="E21" s="4">
        <f t="shared" si="1"/>
        <v>30</v>
      </c>
      <c r="F21" s="4">
        <f t="shared" si="2"/>
        <v>200</v>
      </c>
      <c r="G21" s="4">
        <v>0.15</v>
      </c>
      <c r="H21" s="4" t="s">
        <v>18</v>
      </c>
    </row>
    <row r="22" ht="15.75" customHeight="1">
      <c r="A22" s="3" t="s">
        <v>416</v>
      </c>
      <c r="B22" s="4" t="s">
        <v>227</v>
      </c>
      <c r="C22" s="3" t="s">
        <v>417</v>
      </c>
      <c r="D22" s="10" t="s">
        <v>427</v>
      </c>
      <c r="E22" s="4">
        <f t="shared" si="1"/>
        <v>85</v>
      </c>
      <c r="F22" s="4">
        <f t="shared" si="2"/>
        <v>200</v>
      </c>
      <c r="G22" s="4">
        <v>0.425</v>
      </c>
      <c r="H22" s="4" t="s">
        <v>18</v>
      </c>
    </row>
    <row r="23" ht="15.75" customHeight="1">
      <c r="A23" s="3" t="s">
        <v>416</v>
      </c>
      <c r="B23" s="4" t="s">
        <v>227</v>
      </c>
      <c r="C23" s="3" t="s">
        <v>419</v>
      </c>
      <c r="D23" s="10" t="s">
        <v>428</v>
      </c>
      <c r="E23" s="4">
        <f t="shared" si="1"/>
        <v>71</v>
      </c>
      <c r="F23" s="4">
        <f t="shared" si="2"/>
        <v>200</v>
      </c>
      <c r="G23" s="4">
        <v>0.355</v>
      </c>
      <c r="H23" s="4" t="s">
        <v>12</v>
      </c>
    </row>
    <row r="24" ht="15.75" customHeight="1">
      <c r="A24" s="3" t="s">
        <v>416</v>
      </c>
      <c r="B24" s="4" t="s">
        <v>94</v>
      </c>
      <c r="C24" s="3" t="s">
        <v>417</v>
      </c>
      <c r="D24" s="10" t="s">
        <v>429</v>
      </c>
      <c r="E24" s="4">
        <f t="shared" si="1"/>
        <v>153</v>
      </c>
      <c r="F24" s="4">
        <f t="shared" si="2"/>
        <v>1000</v>
      </c>
      <c r="G24" s="4">
        <v>0.153</v>
      </c>
      <c r="H24" s="4" t="s">
        <v>12</v>
      </c>
    </row>
    <row r="25" ht="15.75" customHeight="1">
      <c r="A25" s="3" t="s">
        <v>416</v>
      </c>
      <c r="B25" s="4" t="s">
        <v>94</v>
      </c>
      <c r="C25" s="3" t="s">
        <v>419</v>
      </c>
      <c r="D25" s="10" t="s">
        <v>430</v>
      </c>
      <c r="E25" s="4">
        <f t="shared" si="1"/>
        <v>209</v>
      </c>
      <c r="F25" s="4">
        <f t="shared" si="2"/>
        <v>1000</v>
      </c>
      <c r="G25" s="4">
        <v>0.209</v>
      </c>
      <c r="H25" s="4" t="s">
        <v>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42.14"/>
    <col customWidth="1" min="3" max="3" width="23.86"/>
    <col customWidth="1" min="4" max="5" width="16.43"/>
    <col customWidth="1" min="6" max="6" width="14.29"/>
    <col customWidth="1" min="7" max="7" width="13.0"/>
    <col customWidth="1" min="8" max="8" width="12.14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431</v>
      </c>
      <c r="B2" s="4" t="s">
        <v>215</v>
      </c>
      <c r="C2" s="4" t="s">
        <v>364</v>
      </c>
      <c r="D2" s="12" t="s">
        <v>432</v>
      </c>
      <c r="E2" s="4">
        <f t="shared" ref="E2:E25" si="1">(LEN(D2)-LEN(SUBSTITUTE(D2,"True","")))/4</f>
        <v>4</v>
      </c>
      <c r="F2" s="4">
        <f t="shared" ref="F2:F25" si="2">LEN(D2)-LEN(SUBSTITUTE(D2,",",""))+1</f>
        <v>200</v>
      </c>
      <c r="G2" s="4">
        <v>0.02</v>
      </c>
      <c r="H2" s="4" t="s">
        <v>12</v>
      </c>
    </row>
    <row r="3">
      <c r="A3" s="3" t="s">
        <v>431</v>
      </c>
      <c r="B3" s="4" t="s">
        <v>215</v>
      </c>
      <c r="C3" s="4" t="s">
        <v>366</v>
      </c>
      <c r="D3" s="3" t="s">
        <v>433</v>
      </c>
      <c r="E3" s="4">
        <f t="shared" si="1"/>
        <v>21</v>
      </c>
      <c r="F3" s="4">
        <f t="shared" si="2"/>
        <v>200</v>
      </c>
      <c r="G3" s="4">
        <v>0.105</v>
      </c>
      <c r="H3" s="4" t="s">
        <v>18</v>
      </c>
    </row>
    <row r="4">
      <c r="A4" s="3" t="s">
        <v>431</v>
      </c>
      <c r="B4" s="4" t="s">
        <v>218</v>
      </c>
      <c r="C4" s="4" t="s">
        <v>364</v>
      </c>
      <c r="D4" s="3" t="s">
        <v>434</v>
      </c>
      <c r="E4" s="4">
        <f t="shared" si="1"/>
        <v>11</v>
      </c>
      <c r="F4" s="4">
        <f t="shared" si="2"/>
        <v>200</v>
      </c>
      <c r="G4" s="4">
        <v>0.055</v>
      </c>
      <c r="H4" s="4" t="s">
        <v>18</v>
      </c>
    </row>
    <row r="5">
      <c r="A5" s="3" t="s">
        <v>431</v>
      </c>
      <c r="B5" s="4" t="s">
        <v>218</v>
      </c>
      <c r="C5" s="4" t="s">
        <v>366</v>
      </c>
      <c r="D5" s="3" t="s">
        <v>435</v>
      </c>
      <c r="E5" s="4">
        <f t="shared" si="1"/>
        <v>19</v>
      </c>
      <c r="F5" s="4">
        <f t="shared" si="2"/>
        <v>200</v>
      </c>
      <c r="G5" s="4">
        <v>0.095</v>
      </c>
      <c r="H5" s="4" t="s">
        <v>18</v>
      </c>
    </row>
    <row r="6">
      <c r="A6" s="3" t="s">
        <v>431</v>
      </c>
      <c r="B6" s="4" t="s">
        <v>221</v>
      </c>
      <c r="C6" s="4" t="s">
        <v>364</v>
      </c>
      <c r="D6" s="3" t="s">
        <v>436</v>
      </c>
      <c r="E6" s="4">
        <f t="shared" si="1"/>
        <v>9</v>
      </c>
      <c r="F6" s="4">
        <f t="shared" si="2"/>
        <v>200</v>
      </c>
      <c r="G6" s="4">
        <v>0.045</v>
      </c>
      <c r="H6" s="4" t="s">
        <v>12</v>
      </c>
    </row>
    <row r="7">
      <c r="A7" s="3" t="s">
        <v>431</v>
      </c>
      <c r="B7" s="4" t="s">
        <v>221</v>
      </c>
      <c r="C7" s="4" t="s">
        <v>366</v>
      </c>
      <c r="D7" s="3" t="s">
        <v>437</v>
      </c>
      <c r="E7" s="4">
        <f t="shared" si="1"/>
        <v>24</v>
      </c>
      <c r="F7" s="4">
        <f t="shared" si="2"/>
        <v>200</v>
      </c>
      <c r="G7" s="4">
        <v>0.12</v>
      </c>
      <c r="H7" s="4" t="s">
        <v>18</v>
      </c>
    </row>
    <row r="8">
      <c r="A8" s="3" t="s">
        <v>431</v>
      </c>
      <c r="B8" s="4" t="s">
        <v>224</v>
      </c>
      <c r="C8" s="4" t="s">
        <v>364</v>
      </c>
      <c r="D8" s="3" t="s">
        <v>438</v>
      </c>
      <c r="E8" s="4">
        <f t="shared" si="1"/>
        <v>3</v>
      </c>
      <c r="F8" s="4">
        <f t="shared" si="2"/>
        <v>200</v>
      </c>
      <c r="G8" s="4">
        <v>0.015</v>
      </c>
      <c r="H8" s="4" t="s">
        <v>12</v>
      </c>
    </row>
    <row r="9">
      <c r="A9" s="3" t="s">
        <v>431</v>
      </c>
      <c r="B9" s="4" t="s">
        <v>224</v>
      </c>
      <c r="C9" s="4" t="s">
        <v>366</v>
      </c>
      <c r="D9" s="3" t="s">
        <v>439</v>
      </c>
      <c r="E9" s="4">
        <f t="shared" si="1"/>
        <v>29</v>
      </c>
      <c r="F9" s="4">
        <f t="shared" si="2"/>
        <v>200</v>
      </c>
      <c r="G9" s="4">
        <v>0.145</v>
      </c>
      <c r="H9" s="4" t="s">
        <v>18</v>
      </c>
    </row>
    <row r="10">
      <c r="A10" s="3" t="s">
        <v>431</v>
      </c>
      <c r="B10" s="4" t="s">
        <v>227</v>
      </c>
      <c r="C10" s="4" t="s">
        <v>364</v>
      </c>
      <c r="D10" s="3" t="s">
        <v>440</v>
      </c>
      <c r="E10" s="4">
        <f t="shared" si="1"/>
        <v>48</v>
      </c>
      <c r="F10" s="4">
        <f t="shared" si="2"/>
        <v>200</v>
      </c>
      <c r="G10" s="4">
        <v>0.24</v>
      </c>
      <c r="H10" s="4" t="s">
        <v>18</v>
      </c>
    </row>
    <row r="11">
      <c r="A11" s="3" t="s">
        <v>431</v>
      </c>
      <c r="B11" s="4" t="s">
        <v>227</v>
      </c>
      <c r="C11" s="4" t="s">
        <v>366</v>
      </c>
      <c r="D11" s="3" t="s">
        <v>441</v>
      </c>
      <c r="E11" s="4">
        <f t="shared" si="1"/>
        <v>40</v>
      </c>
      <c r="F11" s="4">
        <f t="shared" si="2"/>
        <v>200</v>
      </c>
      <c r="G11" s="4">
        <v>0.2</v>
      </c>
      <c r="H11" s="4" t="s">
        <v>18</v>
      </c>
    </row>
    <row r="12">
      <c r="A12" s="3" t="s">
        <v>431</v>
      </c>
      <c r="B12" s="4" t="s">
        <v>94</v>
      </c>
      <c r="C12" s="4" t="s">
        <v>364</v>
      </c>
      <c r="D12" s="3" t="s">
        <v>442</v>
      </c>
      <c r="E12" s="4">
        <f t="shared" si="1"/>
        <v>75</v>
      </c>
      <c r="F12" s="4">
        <f t="shared" si="2"/>
        <v>1000</v>
      </c>
      <c r="G12" s="4">
        <v>0.075</v>
      </c>
      <c r="H12" s="4" t="s">
        <v>12</v>
      </c>
    </row>
    <row r="13">
      <c r="A13" s="3" t="s">
        <v>431</v>
      </c>
      <c r="B13" s="4" t="s">
        <v>94</v>
      </c>
      <c r="C13" s="4" t="s">
        <v>366</v>
      </c>
      <c r="D13" s="3" t="s">
        <v>443</v>
      </c>
      <c r="E13" s="4">
        <f t="shared" si="1"/>
        <v>133</v>
      </c>
      <c r="F13" s="4">
        <f t="shared" si="2"/>
        <v>1000</v>
      </c>
      <c r="G13" s="4">
        <v>0.133</v>
      </c>
      <c r="H13" s="4" t="s">
        <v>18</v>
      </c>
    </row>
    <row r="14">
      <c r="A14" s="3" t="s">
        <v>444</v>
      </c>
      <c r="B14" s="4" t="s">
        <v>215</v>
      </c>
      <c r="C14" s="3" t="s">
        <v>417</v>
      </c>
      <c r="D14" s="3" t="s">
        <v>445</v>
      </c>
      <c r="E14" s="4">
        <f t="shared" si="1"/>
        <v>0</v>
      </c>
      <c r="F14" s="4">
        <f t="shared" si="2"/>
        <v>200</v>
      </c>
      <c r="G14" s="4">
        <v>0.0</v>
      </c>
      <c r="H14" s="4" t="s">
        <v>18</v>
      </c>
    </row>
    <row r="15">
      <c r="A15" s="3" t="s">
        <v>444</v>
      </c>
      <c r="B15" s="4" t="s">
        <v>215</v>
      </c>
      <c r="C15" s="3" t="s">
        <v>419</v>
      </c>
      <c r="D15" s="3" t="s">
        <v>446</v>
      </c>
      <c r="E15" s="4">
        <f t="shared" si="1"/>
        <v>5</v>
      </c>
      <c r="F15" s="4">
        <f t="shared" si="2"/>
        <v>200</v>
      </c>
      <c r="G15" s="4">
        <v>0.025</v>
      </c>
      <c r="H15" s="4" t="s">
        <v>18</v>
      </c>
    </row>
    <row r="16">
      <c r="A16" s="3" t="s">
        <v>444</v>
      </c>
      <c r="B16" s="4" t="s">
        <v>218</v>
      </c>
      <c r="C16" s="3" t="s">
        <v>417</v>
      </c>
      <c r="D16" s="3" t="s">
        <v>447</v>
      </c>
      <c r="E16" s="4">
        <f t="shared" si="1"/>
        <v>5</v>
      </c>
      <c r="F16" s="4">
        <f t="shared" si="2"/>
        <v>200</v>
      </c>
      <c r="G16" s="4">
        <v>0.025</v>
      </c>
      <c r="H16" s="4" t="s">
        <v>18</v>
      </c>
    </row>
    <row r="17">
      <c r="A17" s="3" t="s">
        <v>444</v>
      </c>
      <c r="B17" s="4" t="s">
        <v>218</v>
      </c>
      <c r="C17" s="3" t="s">
        <v>419</v>
      </c>
      <c r="D17" s="3" t="s">
        <v>448</v>
      </c>
      <c r="E17" s="4">
        <f t="shared" si="1"/>
        <v>6</v>
      </c>
      <c r="F17" s="4">
        <f t="shared" si="2"/>
        <v>200</v>
      </c>
      <c r="G17" s="4">
        <v>0.03</v>
      </c>
      <c r="H17" s="4" t="s">
        <v>18</v>
      </c>
    </row>
    <row r="18">
      <c r="A18" s="3" t="s">
        <v>444</v>
      </c>
      <c r="B18" s="4" t="s">
        <v>221</v>
      </c>
      <c r="C18" s="3" t="s">
        <v>417</v>
      </c>
      <c r="D18" s="3" t="s">
        <v>449</v>
      </c>
      <c r="E18" s="4">
        <f t="shared" si="1"/>
        <v>2</v>
      </c>
      <c r="F18" s="4">
        <f t="shared" si="2"/>
        <v>200</v>
      </c>
      <c r="G18" s="4">
        <v>0.01</v>
      </c>
      <c r="H18" s="4" t="s">
        <v>18</v>
      </c>
    </row>
    <row r="19">
      <c r="A19" s="3" t="s">
        <v>444</v>
      </c>
      <c r="B19" s="4" t="s">
        <v>221</v>
      </c>
      <c r="C19" s="3" t="s">
        <v>419</v>
      </c>
      <c r="D19" s="3" t="s">
        <v>450</v>
      </c>
      <c r="E19" s="4">
        <f t="shared" si="1"/>
        <v>6</v>
      </c>
      <c r="F19" s="4">
        <f t="shared" si="2"/>
        <v>200</v>
      </c>
      <c r="G19" s="4">
        <v>0.03</v>
      </c>
      <c r="H19" s="4" t="s">
        <v>18</v>
      </c>
    </row>
    <row r="20">
      <c r="A20" s="3" t="s">
        <v>444</v>
      </c>
      <c r="B20" s="4" t="s">
        <v>224</v>
      </c>
      <c r="C20" s="3" t="s">
        <v>417</v>
      </c>
      <c r="D20" s="3" t="s">
        <v>451</v>
      </c>
      <c r="E20" s="4">
        <f t="shared" si="1"/>
        <v>13</v>
      </c>
      <c r="F20" s="4">
        <f t="shared" si="2"/>
        <v>200</v>
      </c>
      <c r="G20" s="4">
        <v>0.065</v>
      </c>
      <c r="H20" s="4" t="s">
        <v>18</v>
      </c>
    </row>
    <row r="21" ht="15.75" customHeight="1">
      <c r="A21" s="3" t="s">
        <v>444</v>
      </c>
      <c r="B21" s="4" t="s">
        <v>224</v>
      </c>
      <c r="C21" s="3" t="s">
        <v>419</v>
      </c>
      <c r="D21" s="3" t="s">
        <v>452</v>
      </c>
      <c r="E21" s="4">
        <f t="shared" si="1"/>
        <v>11</v>
      </c>
      <c r="F21" s="4">
        <f t="shared" si="2"/>
        <v>200</v>
      </c>
      <c r="G21" s="4">
        <v>0.055</v>
      </c>
      <c r="H21" s="4" t="s">
        <v>18</v>
      </c>
    </row>
    <row r="22" ht="15.75" customHeight="1">
      <c r="A22" s="3" t="s">
        <v>444</v>
      </c>
      <c r="B22" s="4" t="s">
        <v>227</v>
      </c>
      <c r="C22" s="3" t="s">
        <v>417</v>
      </c>
      <c r="D22" s="3" t="s">
        <v>452</v>
      </c>
      <c r="E22" s="4">
        <f t="shared" si="1"/>
        <v>11</v>
      </c>
      <c r="F22" s="4">
        <f t="shared" si="2"/>
        <v>200</v>
      </c>
      <c r="G22" s="4">
        <v>0.12</v>
      </c>
      <c r="H22" s="4" t="s">
        <v>18</v>
      </c>
    </row>
    <row r="23" ht="15.75" customHeight="1">
      <c r="A23" s="3" t="s">
        <v>444</v>
      </c>
      <c r="B23" s="4" t="s">
        <v>227</v>
      </c>
      <c r="C23" s="3" t="s">
        <v>419</v>
      </c>
      <c r="D23" s="3" t="s">
        <v>453</v>
      </c>
      <c r="E23" s="4">
        <f t="shared" si="1"/>
        <v>24</v>
      </c>
      <c r="F23" s="4">
        <f t="shared" si="2"/>
        <v>200</v>
      </c>
      <c r="G23" s="4">
        <v>0.125</v>
      </c>
      <c r="H23" s="4" t="s">
        <v>18</v>
      </c>
    </row>
    <row r="24" ht="15.75" customHeight="1">
      <c r="A24" s="3" t="s">
        <v>444</v>
      </c>
      <c r="B24" s="4" t="s">
        <v>94</v>
      </c>
      <c r="C24" s="3" t="s">
        <v>417</v>
      </c>
      <c r="D24" s="3" t="s">
        <v>454</v>
      </c>
      <c r="E24" s="4">
        <f t="shared" si="1"/>
        <v>44</v>
      </c>
      <c r="F24" s="4">
        <f t="shared" si="2"/>
        <v>1000</v>
      </c>
      <c r="G24" s="4">
        <v>0.044</v>
      </c>
      <c r="H24" s="4" t="s">
        <v>18</v>
      </c>
    </row>
    <row r="25" ht="15.75" customHeight="1">
      <c r="A25" s="3" t="s">
        <v>444</v>
      </c>
      <c r="B25" s="4" t="s">
        <v>94</v>
      </c>
      <c r="C25" s="3" t="s">
        <v>419</v>
      </c>
      <c r="D25" s="3" t="s">
        <v>455</v>
      </c>
      <c r="E25" s="4">
        <f t="shared" si="1"/>
        <v>53</v>
      </c>
      <c r="F25" s="4">
        <f t="shared" si="2"/>
        <v>1000</v>
      </c>
      <c r="G25" s="4">
        <v>0.053</v>
      </c>
      <c r="H25" s="4" t="s">
        <v>18</v>
      </c>
    </row>
    <row r="26" ht="15.75" customHeight="1"/>
    <row r="27" ht="15.75" customHeight="1"/>
    <row r="28" ht="15.75" customHeight="1">
      <c r="A28" s="10"/>
    </row>
    <row r="29" ht="15.75" customHeight="1">
      <c r="A29" s="10"/>
    </row>
    <row r="30" ht="15.75" customHeight="1">
      <c r="A30" s="10"/>
    </row>
    <row r="31" ht="15.75" customHeight="1">
      <c r="A31" s="10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35:B35"/>
    <mergeCell ref="A36:B36"/>
    <mergeCell ref="A37:B37"/>
    <mergeCell ref="A38:B38"/>
    <mergeCell ref="A39:B39"/>
    <mergeCell ref="A40:B40"/>
    <mergeCell ref="A41:B41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48:B48"/>
    <mergeCell ref="A28:B28"/>
    <mergeCell ref="A29:B29"/>
    <mergeCell ref="A30:B30"/>
    <mergeCell ref="A31:B31"/>
    <mergeCell ref="A32:B32"/>
    <mergeCell ref="A33:B33"/>
    <mergeCell ref="A34:B34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41.43"/>
    <col customWidth="1" min="3" max="3" width="26.86"/>
    <col customWidth="1" min="4" max="4" width="22.86"/>
    <col customWidth="1" min="5" max="5" width="20.86"/>
    <col customWidth="1" min="6" max="6" width="19.86"/>
    <col customWidth="1" min="7" max="7" width="16.43"/>
    <col customWidth="1" min="8" max="8" width="19.43"/>
    <col customWidth="1" min="9" max="9" width="13.0"/>
    <col customWidth="1" min="10" max="27" width="8.86"/>
  </cols>
  <sheetData>
    <row r="1">
      <c r="A1" s="1" t="s">
        <v>0</v>
      </c>
      <c r="B1" s="1" t="s">
        <v>1</v>
      </c>
      <c r="C1" s="1" t="s">
        <v>2</v>
      </c>
      <c r="D1" s="2" t="s">
        <v>242</v>
      </c>
      <c r="E1" s="2" t="s">
        <v>243</v>
      </c>
      <c r="F1" s="1" t="s">
        <v>244</v>
      </c>
      <c r="G1" s="1" t="s">
        <v>5</v>
      </c>
      <c r="H1" s="1" t="s">
        <v>245</v>
      </c>
      <c r="I1" s="6" t="s">
        <v>7</v>
      </c>
    </row>
    <row r="2">
      <c r="A2" s="3" t="s">
        <v>456</v>
      </c>
      <c r="B2" s="3" t="s">
        <v>198</v>
      </c>
      <c r="C2" s="3" t="s">
        <v>10</v>
      </c>
      <c r="D2" s="3" t="s">
        <v>247</v>
      </c>
      <c r="E2" s="7" t="s">
        <v>248</v>
      </c>
      <c r="F2" s="4">
        <f>IFERROR(__xludf.DUMMYFUNCTION("AVERAGE(ARRAYFORMULA(VALUE(TRIM(SPLIT(SUBSTITUTE(SUBSTITUTE(D2,""["",""""),""]"",""""),"","")))))"),0.6015384612)</f>
        <v>0.6015384612</v>
      </c>
      <c r="G2" s="4">
        <f t="shared" ref="G2:G25" si="1">LEN(D2)-LEN(SUBSTITUTE(D2,",",""))+1</f>
        <v>50</v>
      </c>
      <c r="H2" s="4">
        <f>IFERROR(__xludf.DUMMYFUNCTION("COUNTA(UNIQUE(ARRAYFORMULA(VALUE(TRIM(SPLIT(SUBSTITUTE(SUBSTITUTE(E2,""["",""""),""]"",""""),"","")))))) - 1"),13.0)</f>
        <v>13</v>
      </c>
      <c r="I2" s="3" t="s">
        <v>18</v>
      </c>
    </row>
    <row r="3">
      <c r="A3" s="3" t="s">
        <v>456</v>
      </c>
      <c r="B3" s="3" t="s">
        <v>198</v>
      </c>
      <c r="C3" s="3" t="s">
        <v>249</v>
      </c>
      <c r="D3" s="3" t="s">
        <v>250</v>
      </c>
      <c r="E3" s="3" t="s">
        <v>248</v>
      </c>
      <c r="F3" s="4">
        <f>IFERROR(__xludf.DUMMYFUNCTION("AVERAGE(ARRAYFORMULA(VALUE(TRIM(SPLIT(SUBSTITUTE(SUBSTITUTE(D3,""["",""""),""]"",""""),"","")))))"),0.5723076916)</f>
        <v>0.5723076916</v>
      </c>
      <c r="G3" s="4">
        <f t="shared" si="1"/>
        <v>50</v>
      </c>
      <c r="H3" s="4">
        <f>IFERROR(__xludf.DUMMYFUNCTION("COUNTA(UNIQUE(ARRAYFORMULA(VALUE(TRIM(SPLIT(SUBSTITUTE(SUBSTITUTE(E3,""["",""""),""]"",""""),"","")))))) - 1"),13.0)</f>
        <v>13</v>
      </c>
      <c r="I3" s="3" t="s">
        <v>18</v>
      </c>
    </row>
    <row r="4">
      <c r="A4" s="3" t="s">
        <v>456</v>
      </c>
      <c r="B4" s="3" t="s">
        <v>201</v>
      </c>
      <c r="C4" s="3" t="s">
        <v>10</v>
      </c>
      <c r="D4" s="3" t="s">
        <v>251</v>
      </c>
      <c r="E4" s="3" t="s">
        <v>252</v>
      </c>
      <c r="F4" s="4">
        <f>IFERROR(__xludf.DUMMYFUNCTION("AVERAGE(ARRAYFORMULA(VALUE(TRIM(SPLIT(SUBSTITUTE(SUBSTITUTE(D4,""["",""""),""]"",""""),"","")))))"),0.405714285)</f>
        <v>0.405714285</v>
      </c>
      <c r="G4" s="4">
        <f t="shared" si="1"/>
        <v>50</v>
      </c>
      <c r="H4" s="4">
        <f>IFERROR(__xludf.DUMMYFUNCTION("COUNTA(UNIQUE(ARRAYFORMULA(VALUE(TRIM(SPLIT(SUBSTITUTE(SUBSTITUTE(E4,""["",""""),""]"",""""),"","")))))) - 1"),7.0)</f>
        <v>7</v>
      </c>
      <c r="I4" s="3" t="s">
        <v>12</v>
      </c>
    </row>
    <row r="5">
      <c r="A5" s="3" t="s">
        <v>456</v>
      </c>
      <c r="B5" s="3" t="s">
        <v>201</v>
      </c>
      <c r="C5" s="3" t="s">
        <v>249</v>
      </c>
      <c r="D5" s="3" t="s">
        <v>253</v>
      </c>
      <c r="E5" s="3" t="s">
        <v>252</v>
      </c>
      <c r="F5" s="4">
        <f>IFERROR(__xludf.DUMMYFUNCTION("AVERAGE(ARRAYFORMULA(VALUE(TRIM(SPLIT(SUBSTITUTE(SUBSTITUTE(D5,""["",""""),""]"",""""),"","")))))"),0.6171428577999998)</f>
        <v>0.6171428578</v>
      </c>
      <c r="G5" s="4">
        <f t="shared" si="1"/>
        <v>50</v>
      </c>
      <c r="H5" s="4">
        <f>IFERROR(__xludf.DUMMYFUNCTION("COUNTA(UNIQUE(ARRAYFORMULA(VALUE(TRIM(SPLIT(SUBSTITUTE(SUBSTITUTE(E5,""["",""""),""]"",""""),"","")))))) - 1"),7.0)</f>
        <v>7</v>
      </c>
      <c r="I5" s="3" t="s">
        <v>18</v>
      </c>
    </row>
    <row r="6">
      <c r="A6" s="3" t="s">
        <v>456</v>
      </c>
      <c r="B6" s="8" t="s">
        <v>204</v>
      </c>
      <c r="C6" s="3" t="s">
        <v>10</v>
      </c>
      <c r="D6" s="3" t="s">
        <v>254</v>
      </c>
      <c r="E6" s="5" t="s">
        <v>252</v>
      </c>
      <c r="F6" s="4">
        <f>IFERROR(__xludf.DUMMYFUNCTION("AVERAGE(ARRAYFORMULA(VALUE(TRIM(SPLIT(SUBSTITUTE(SUBSTITUTE(D6,""["",""""),""]"",""""),"","")))))"),0.43714285719999985)</f>
        <v>0.4371428572</v>
      </c>
      <c r="G6" s="4">
        <f t="shared" si="1"/>
        <v>50</v>
      </c>
      <c r="H6" s="4">
        <f>IFERROR(__xludf.DUMMYFUNCTION("COUNTA(UNIQUE(ARRAYFORMULA(VALUE(TRIM(SPLIT(SUBSTITUTE(SUBSTITUTE(E6,""["",""""),""]"",""""),"","")))))) - 1"),7.0)</f>
        <v>7</v>
      </c>
      <c r="I6" s="3" t="s">
        <v>12</v>
      </c>
    </row>
    <row r="7">
      <c r="A7" s="3" t="s">
        <v>456</v>
      </c>
      <c r="B7" s="8" t="s">
        <v>204</v>
      </c>
      <c r="C7" s="3" t="s">
        <v>249</v>
      </c>
      <c r="D7" s="3" t="s">
        <v>255</v>
      </c>
      <c r="E7" s="3" t="s">
        <v>252</v>
      </c>
      <c r="F7" s="4">
        <f>IFERROR(__xludf.DUMMYFUNCTION("AVERAGE(ARRAYFORMULA(VALUE(TRIM(SPLIT(SUBSTITUTE(SUBSTITUTE(D7,""["",""""),""]"",""""),"","")))))"),0.8085714292)</f>
        <v>0.8085714292</v>
      </c>
      <c r="G7" s="4">
        <f t="shared" si="1"/>
        <v>50</v>
      </c>
      <c r="H7" s="4">
        <f>IFERROR(__xludf.DUMMYFUNCTION("COUNTA(UNIQUE(ARRAYFORMULA(VALUE(TRIM(SPLIT(SUBSTITUTE(SUBSTITUTE(E7,""["",""""),""]"",""""),"","")))))) - 1"),7.0)</f>
        <v>7</v>
      </c>
      <c r="I7" s="3" t="s">
        <v>18</v>
      </c>
    </row>
    <row r="8">
      <c r="A8" s="3" t="s">
        <v>456</v>
      </c>
      <c r="B8" s="3" t="s">
        <v>207</v>
      </c>
      <c r="C8" s="3" t="s">
        <v>10</v>
      </c>
      <c r="D8" s="3" t="s">
        <v>256</v>
      </c>
      <c r="E8" s="3" t="s">
        <v>257</v>
      </c>
      <c r="F8" s="4">
        <f>IFERROR(__xludf.DUMMYFUNCTION("AVERAGE(ARRAYFORMULA(VALUE(TRIM(SPLIT(SUBSTITUTE(SUBSTITUTE(D8,""["",""""),""]"",""""),"","")))))"),0.6128571439999999)</f>
        <v>0.612857144</v>
      </c>
      <c r="G8" s="4">
        <f t="shared" si="1"/>
        <v>50</v>
      </c>
      <c r="H8" s="4">
        <f>IFERROR(__xludf.DUMMYFUNCTION("COUNTA(UNIQUE(ARRAYFORMULA(VALUE(TRIM(SPLIT(SUBSTITUTE(SUBSTITUTE(E8,""["",""""),""]"",""""),"","")))))) - 1"),14.0)</f>
        <v>14</v>
      </c>
      <c r="I8" s="3" t="s">
        <v>12</v>
      </c>
    </row>
    <row r="9">
      <c r="A9" s="3" t="s">
        <v>456</v>
      </c>
      <c r="B9" s="3" t="s">
        <v>207</v>
      </c>
      <c r="C9" s="3" t="s">
        <v>249</v>
      </c>
      <c r="D9" s="3" t="s">
        <v>258</v>
      </c>
      <c r="E9" s="3" t="s">
        <v>257</v>
      </c>
      <c r="F9" s="4">
        <f>IFERROR(__xludf.DUMMYFUNCTION("AVERAGE(ARRAYFORMULA(VALUE(TRIM(SPLIT(SUBSTITUTE(SUBSTITUTE(D9,""["",""""),""]"",""""),"","")))))"),0.7800000015999999)</f>
        <v>0.7800000016</v>
      </c>
      <c r="G9" s="4">
        <f t="shared" si="1"/>
        <v>50</v>
      </c>
      <c r="H9" s="4">
        <f>IFERROR(__xludf.DUMMYFUNCTION("COUNTA(UNIQUE(ARRAYFORMULA(VALUE(TRIM(SPLIT(SUBSTITUTE(SUBSTITUTE(E9,""["",""""),""]"",""""),"","")))))) - 1"),14.0)</f>
        <v>14</v>
      </c>
      <c r="I9" s="3" t="s">
        <v>18</v>
      </c>
    </row>
    <row r="10">
      <c r="A10" s="3" t="s">
        <v>456</v>
      </c>
      <c r="B10" s="3" t="s">
        <v>210</v>
      </c>
      <c r="C10" s="3" t="s">
        <v>10</v>
      </c>
      <c r="D10" s="3" t="s">
        <v>259</v>
      </c>
      <c r="E10" s="3" t="s">
        <v>260</v>
      </c>
      <c r="F10" s="4">
        <f>IFERROR(__xludf.DUMMYFUNCTION("AVERAGE(ARRAYFORMULA(VALUE(TRIM(SPLIT(SUBSTITUTE(SUBSTITUTE(D10,""["",""""),""]"",""""),"","")))))"),0.4650000000000001)</f>
        <v>0.465</v>
      </c>
      <c r="G10" s="4">
        <f t="shared" si="1"/>
        <v>50</v>
      </c>
      <c r="H10" s="4">
        <f>IFERROR(__xludf.DUMMYFUNCTION("COUNTA(UNIQUE(ARRAYFORMULA(VALUE(TRIM(SPLIT(SUBSTITUTE(SUBSTITUTE(E10,""["",""""),""]"",""""),"","")))))) - 1"),12.0)</f>
        <v>12</v>
      </c>
      <c r="I10" s="3" t="s">
        <v>12</v>
      </c>
    </row>
    <row r="11">
      <c r="A11" s="3" t="s">
        <v>456</v>
      </c>
      <c r="B11" s="3" t="s">
        <v>210</v>
      </c>
      <c r="C11" s="3" t="s">
        <v>249</v>
      </c>
      <c r="D11" s="3" t="s">
        <v>261</v>
      </c>
      <c r="E11" s="3" t="s">
        <v>260</v>
      </c>
      <c r="F11" s="4">
        <f>IFERROR(__xludf.DUMMYFUNCTION("AVERAGE(ARRAYFORMULA(VALUE(TRIM(SPLIT(SUBSTITUTE(SUBSTITUTE(D11,""["",""""),""]"",""""),"","")))))"),0.8500000004)</f>
        <v>0.8500000004</v>
      </c>
      <c r="G11" s="4">
        <f t="shared" si="1"/>
        <v>50</v>
      </c>
      <c r="H11" s="4">
        <f>IFERROR(__xludf.DUMMYFUNCTION("COUNTA(UNIQUE(ARRAYFORMULA(VALUE(TRIM(SPLIT(SUBSTITUTE(SUBSTITUTE(E11,""["",""""),""]"",""""),"","")))))) - 1"),12.0)</f>
        <v>12</v>
      </c>
      <c r="I11" s="3" t="s">
        <v>18</v>
      </c>
    </row>
    <row r="12">
      <c r="A12" s="3" t="s">
        <v>456</v>
      </c>
      <c r="B12" s="3" t="s">
        <v>27</v>
      </c>
      <c r="C12" s="3" t="s">
        <v>10</v>
      </c>
      <c r="D12" s="3" t="s">
        <v>262</v>
      </c>
      <c r="E12" s="3" t="s">
        <v>263</v>
      </c>
      <c r="F12" s="4">
        <f>IFERROR(__xludf.DUMMYFUNCTION("AVERAGE(ARRAYFORMULA(VALUE(TRIM(SPLIT(SUBSTITUTE(SUBSTITUTE(D12,""["",""""),""]"",""""),"","")))))"),0.5044505494799997)</f>
        <v>0.5044505495</v>
      </c>
      <c r="G12" s="4">
        <f t="shared" si="1"/>
        <v>250</v>
      </c>
      <c r="H12" s="4">
        <f>IFERROR(__xludf.DUMMYFUNCTION("COUNTA(UNIQUE(ARRAYFORMULA(VALUE(TRIM(SPLIT(SUBSTITUTE(SUBSTITUTE(E12,""["",""""),""]"",""""),"","")))))) - 1"),36.0)</f>
        <v>36</v>
      </c>
      <c r="I12" s="3" t="s">
        <v>12</v>
      </c>
    </row>
    <row r="13">
      <c r="A13" s="3" t="s">
        <v>456</v>
      </c>
      <c r="B13" s="3" t="s">
        <v>27</v>
      </c>
      <c r="C13" s="3" t="s">
        <v>249</v>
      </c>
      <c r="D13" s="3" t="s">
        <v>264</v>
      </c>
      <c r="E13" s="3" t="s">
        <v>263</v>
      </c>
      <c r="F13" s="4">
        <f>IFERROR(__xludf.DUMMYFUNCTION("AVERAGE(ARRAYFORMULA(VALUE(TRIM(SPLIT(SUBSTITUTE(SUBSTITUTE(D13,""["",""""),""]"",""""),"","")))))"),0.7256043961200003)</f>
        <v>0.7256043961</v>
      </c>
      <c r="G13" s="4">
        <f t="shared" si="1"/>
        <v>250</v>
      </c>
      <c r="H13" s="4">
        <f>IFERROR(__xludf.DUMMYFUNCTION("COUNTA(UNIQUE(ARRAYFORMULA(VALUE(TRIM(SPLIT(SUBSTITUTE(SUBSTITUTE(E13,""["",""""),""]"",""""),"","")))))) - 1"),36.0)</f>
        <v>36</v>
      </c>
      <c r="I13" s="3" t="s">
        <v>18</v>
      </c>
    </row>
    <row r="14">
      <c r="A14" s="3" t="s">
        <v>457</v>
      </c>
      <c r="B14" s="4" t="s">
        <v>215</v>
      </c>
      <c r="C14" s="3" t="s">
        <v>10</v>
      </c>
      <c r="D14" s="3" t="s">
        <v>266</v>
      </c>
      <c r="E14" s="3" t="s">
        <v>267</v>
      </c>
      <c r="F14" s="4">
        <f>IFERROR(__xludf.DUMMYFUNCTION("AVERAGE(ARRAYFORMULA(VALUE(TRIM(SPLIT(SUBSTITUTE(SUBSTITUTE(D14,""["",""""),""]"",""""),"","")))))"),0.343125)</f>
        <v>0.343125</v>
      </c>
      <c r="G14" s="4">
        <f t="shared" si="1"/>
        <v>200</v>
      </c>
      <c r="H14" s="4">
        <f>IFERROR(__xludf.DUMMYFUNCTION("COUNTA(UNIQUE(ARRAYFORMULA(VALUE(TRIM(SPLIT(SUBSTITUTE(SUBSTITUTE(E14,""["",""""),""]"",""""),"","")))))) - 1"),8.0)</f>
        <v>8</v>
      </c>
      <c r="I14" s="3" t="s">
        <v>12</v>
      </c>
    </row>
    <row r="15">
      <c r="A15" s="3" t="s">
        <v>457</v>
      </c>
      <c r="B15" s="4" t="s">
        <v>215</v>
      </c>
      <c r="C15" s="3" t="s">
        <v>249</v>
      </c>
      <c r="D15" s="3" t="s">
        <v>268</v>
      </c>
      <c r="E15" s="3" t="s">
        <v>267</v>
      </c>
      <c r="F15" s="4">
        <f>IFERROR(__xludf.DUMMYFUNCTION("AVERAGE(ARRAYFORMULA(VALUE(TRIM(SPLIT(SUBSTITUTE(SUBSTITUTE(D15,""["",""""),""]"",""""),"","")))))"),0.494375)</f>
        <v>0.494375</v>
      </c>
      <c r="G15" s="4">
        <f t="shared" si="1"/>
        <v>200</v>
      </c>
      <c r="H15" s="4">
        <f>IFERROR(__xludf.DUMMYFUNCTION("COUNTA(UNIQUE(ARRAYFORMULA(VALUE(TRIM(SPLIT(SUBSTITUTE(SUBSTITUTE(E15,""["",""""),""]"",""""),"","")))))) - 1"),8.0)</f>
        <v>8</v>
      </c>
      <c r="I15" s="3" t="s">
        <v>18</v>
      </c>
    </row>
    <row r="16">
      <c r="A16" s="3" t="s">
        <v>457</v>
      </c>
      <c r="B16" s="4" t="s">
        <v>218</v>
      </c>
      <c r="C16" s="3" t="s">
        <v>10</v>
      </c>
      <c r="D16" s="3" t="s">
        <v>269</v>
      </c>
      <c r="E16" s="3" t="s">
        <v>270</v>
      </c>
      <c r="F16" s="4">
        <f>IFERROR(__xludf.DUMMYFUNCTION("AVERAGE(ARRAYFORMULA(VALUE(TRIM(SPLIT(SUBSTITUTE(SUBSTITUTE(D16,""["",""""),""]"",""""),"","")))))"),0.46733668341708556)</f>
        <v>0.4673366834</v>
      </c>
      <c r="G16" s="4">
        <f t="shared" si="1"/>
        <v>199</v>
      </c>
      <c r="H16" s="4">
        <f>IFERROR(__xludf.DUMMYFUNCTION("COUNTA(UNIQUE(ARRAYFORMULA(VALUE(TRIM(SPLIT(SUBSTITUTE(SUBSTITUTE(E16,""["",""""),""]"",""""),"","")))))) - 1"),5.0)</f>
        <v>5</v>
      </c>
      <c r="I16" s="3" t="s">
        <v>12</v>
      </c>
    </row>
    <row r="17">
      <c r="A17" s="3" t="s">
        <v>457</v>
      </c>
      <c r="B17" s="4" t="s">
        <v>218</v>
      </c>
      <c r="C17" s="3" t="s">
        <v>249</v>
      </c>
      <c r="D17" s="3" t="s">
        <v>271</v>
      </c>
      <c r="E17" s="3" t="s">
        <v>270</v>
      </c>
      <c r="F17" s="4">
        <f>IFERROR(__xludf.DUMMYFUNCTION("AVERAGE(ARRAYFORMULA(VALUE(TRIM(SPLIT(SUBSTITUTE(SUBSTITUTE(D17,""["",""""),""]"",""""),"","")))))"),0.5670000000000001)</f>
        <v>0.567</v>
      </c>
      <c r="G17" s="4">
        <f t="shared" si="1"/>
        <v>200</v>
      </c>
      <c r="H17" s="4">
        <f>IFERROR(__xludf.DUMMYFUNCTION("COUNTA(UNIQUE(ARRAYFORMULA(VALUE(TRIM(SPLIT(SUBSTITUTE(SUBSTITUTE(E17,""["",""""),""]"",""""),"","")))))) - 1"),5.0)</f>
        <v>5</v>
      </c>
      <c r="I17" s="3" t="s">
        <v>18</v>
      </c>
    </row>
    <row r="18">
      <c r="A18" s="3" t="s">
        <v>457</v>
      </c>
      <c r="B18" s="4" t="s">
        <v>221</v>
      </c>
      <c r="C18" s="3" t="s">
        <v>10</v>
      </c>
      <c r="D18" s="3" t="s">
        <v>272</v>
      </c>
      <c r="E18" s="3" t="s">
        <v>273</v>
      </c>
      <c r="F18" s="4">
        <f>IFERROR(__xludf.DUMMYFUNCTION("AVERAGE(ARRAYFORMULA(VALUE(TRIM(SPLIT(SUBSTITUTE(SUBSTITUTE(D18,""["",""""),""]"",""""),"","")))))"),0.30875)</f>
        <v>0.30875</v>
      </c>
      <c r="G18" s="4">
        <f t="shared" si="1"/>
        <v>200</v>
      </c>
      <c r="H18" s="4">
        <f>IFERROR(__xludf.DUMMYFUNCTION("COUNTA(UNIQUE(ARRAYFORMULA(VALUE(TRIM(SPLIT(SUBSTITUTE(SUBSTITUTE(E18,""["",""""),""]"",""""),"","")))))) - 1"),4.0)</f>
        <v>4</v>
      </c>
      <c r="I18" s="3" t="s">
        <v>12</v>
      </c>
    </row>
    <row r="19">
      <c r="A19" s="3" t="s">
        <v>457</v>
      </c>
      <c r="B19" s="4" t="s">
        <v>221</v>
      </c>
      <c r="C19" s="3" t="s">
        <v>249</v>
      </c>
      <c r="D19" s="3" t="s">
        <v>274</v>
      </c>
      <c r="E19" s="3" t="s">
        <v>273</v>
      </c>
      <c r="F19" s="4">
        <f>IFERROR(__xludf.DUMMYFUNCTION("AVERAGE(ARRAYFORMULA(VALUE(TRIM(SPLIT(SUBSTITUTE(SUBSTITUTE(D19,""["",""""),""]"",""""),"","")))))"),0.6475)</f>
        <v>0.6475</v>
      </c>
      <c r="G19" s="4">
        <f t="shared" si="1"/>
        <v>200</v>
      </c>
      <c r="H19" s="4">
        <f>IFERROR(__xludf.DUMMYFUNCTION("COUNTA(UNIQUE(ARRAYFORMULA(VALUE(TRIM(SPLIT(SUBSTITUTE(SUBSTITUTE(E19,""["",""""),""]"",""""),"","")))))) - 1"),4.0)</f>
        <v>4</v>
      </c>
      <c r="I19" s="3" t="s">
        <v>18</v>
      </c>
    </row>
    <row r="20">
      <c r="A20" s="3" t="s">
        <v>457</v>
      </c>
      <c r="B20" s="4" t="s">
        <v>224</v>
      </c>
      <c r="C20" s="3" t="s">
        <v>10</v>
      </c>
      <c r="D20" s="3" t="s">
        <v>275</v>
      </c>
      <c r="E20" s="3" t="s">
        <v>270</v>
      </c>
      <c r="F20" s="4">
        <f>IFERROR(__xludf.DUMMYFUNCTION("AVERAGE(ARRAYFORMULA(VALUE(TRIM(SPLIT(SUBSTITUTE(SUBSTITUTE(D20,""["",""""),""]"",""""),"","")))))"),0.32700000000000023)</f>
        <v>0.327</v>
      </c>
      <c r="G20" s="4">
        <f t="shared" si="1"/>
        <v>200</v>
      </c>
      <c r="H20" s="4">
        <f>IFERROR(__xludf.DUMMYFUNCTION("COUNTA(UNIQUE(ARRAYFORMULA(VALUE(TRIM(SPLIT(SUBSTITUTE(SUBSTITUTE(E20,""["",""""),""]"",""""),"","")))))) - 1"),5.0)</f>
        <v>5</v>
      </c>
      <c r="I20" s="3" t="s">
        <v>12</v>
      </c>
    </row>
    <row r="21">
      <c r="A21" s="3" t="s">
        <v>457</v>
      </c>
      <c r="B21" s="4" t="s">
        <v>224</v>
      </c>
      <c r="C21" s="3" t="s">
        <v>249</v>
      </c>
      <c r="D21" s="3" t="s">
        <v>276</v>
      </c>
      <c r="E21" s="3" t="s">
        <v>270</v>
      </c>
      <c r="F21" s="4">
        <f>IFERROR(__xludf.DUMMYFUNCTION("AVERAGE(ARRAYFORMULA(VALUE(TRIM(SPLIT(SUBSTITUTE(SUBSTITUTE(D21,""["",""""),""]"",""""),"","")))))"),0.5320000000000005)</f>
        <v>0.532</v>
      </c>
      <c r="G21" s="4">
        <f t="shared" si="1"/>
        <v>200</v>
      </c>
      <c r="H21" s="4">
        <f>IFERROR(__xludf.DUMMYFUNCTION("COUNTA(UNIQUE(ARRAYFORMULA(VALUE(TRIM(SPLIT(SUBSTITUTE(SUBSTITUTE(E21,""["",""""),""]"",""""),"","")))))) - 1"),5.0)</f>
        <v>5</v>
      </c>
      <c r="I21" s="3" t="s">
        <v>18</v>
      </c>
    </row>
    <row r="22">
      <c r="A22" s="3" t="s">
        <v>457</v>
      </c>
      <c r="B22" s="4" t="s">
        <v>227</v>
      </c>
      <c r="C22" s="3" t="s">
        <v>10</v>
      </c>
      <c r="D22" s="3" t="s">
        <v>277</v>
      </c>
      <c r="E22" s="3" t="s">
        <v>278</v>
      </c>
      <c r="F22" s="4">
        <f>IFERROR(__xludf.DUMMYFUNCTION("AVERAGE(ARRAYFORMULA(VALUE(TRIM(SPLIT(SUBSTITUTE(SUBSTITUTE(D22,""["",""""),""]"",""""),"","")))))"),0.6175)</f>
        <v>0.6175</v>
      </c>
      <c r="G22" s="4">
        <f t="shared" si="1"/>
        <v>200</v>
      </c>
      <c r="H22" s="4">
        <f>IFERROR(__xludf.DUMMYFUNCTION("COUNTA(UNIQUE(ARRAYFORMULA(VALUE(TRIM(SPLIT(SUBSTITUTE(SUBSTITUTE(E22,""["",""""),""]"",""""),"","")))))) - 1"),6.0)</f>
        <v>6</v>
      </c>
      <c r="I22" s="3" t="s">
        <v>18</v>
      </c>
    </row>
    <row r="23" ht="15.75" customHeight="1">
      <c r="A23" s="3" t="s">
        <v>457</v>
      </c>
      <c r="B23" s="4" t="s">
        <v>227</v>
      </c>
      <c r="C23" s="3" t="s">
        <v>249</v>
      </c>
      <c r="D23" s="3" t="s">
        <v>279</v>
      </c>
      <c r="E23" s="3" t="s">
        <v>278</v>
      </c>
      <c r="F23" s="4">
        <f>IFERROR(__xludf.DUMMYFUNCTION("AVERAGE(ARRAYFORMULA(VALUE(TRIM(SPLIT(SUBSTITUTE(SUBSTITUTE(D23,""["",""""),""]"",""""),"","")))))"),0.6591666664000002)</f>
        <v>0.6591666664</v>
      </c>
      <c r="G23" s="4">
        <f t="shared" si="1"/>
        <v>200</v>
      </c>
      <c r="H23" s="4">
        <f>IFERROR(__xludf.DUMMYFUNCTION("COUNTA(UNIQUE(ARRAYFORMULA(VALUE(TRIM(SPLIT(SUBSTITUTE(SUBSTITUTE(E23,""["",""""),""]"",""""),"","")))))) - 1"),6.0)</f>
        <v>6</v>
      </c>
      <c r="I23" s="3" t="s">
        <v>18</v>
      </c>
    </row>
    <row r="24" ht="15.75" customHeight="1">
      <c r="A24" s="3" t="s">
        <v>457</v>
      </c>
      <c r="B24" s="3" t="s">
        <v>94</v>
      </c>
      <c r="C24" s="3" t="s">
        <v>10</v>
      </c>
      <c r="D24" s="3" t="s">
        <v>280</v>
      </c>
      <c r="E24" s="3" t="s">
        <v>281</v>
      </c>
      <c r="F24" s="4">
        <f>IFERROR(__xludf.DUMMYFUNCTION("AVERAGE(ARRAYFORMULA(VALUE(TRIM(SPLIT(SUBSTITUTE(SUBSTITUTE(D24,""["",""""),""]"",""""),"","")))))"),0.4126876876876867)</f>
        <v>0.4126876877</v>
      </c>
      <c r="G24" s="4">
        <f t="shared" si="1"/>
        <v>999</v>
      </c>
      <c r="H24" s="4">
        <f>IFERROR(__xludf.DUMMYFUNCTION("COUNTA(UNIQUE(ARRAYFORMULA(VALUE(TRIM(SPLIT(SUBSTITUTE(SUBSTITUTE(E24,""["",""""),""]"",""""),"","")))))) - 1"),16.0)</f>
        <v>16</v>
      </c>
      <c r="I24" s="3" t="s">
        <v>12</v>
      </c>
    </row>
    <row r="25" ht="15.75" customHeight="1">
      <c r="A25" s="3" t="s">
        <v>457</v>
      </c>
      <c r="B25" s="3" t="s">
        <v>94</v>
      </c>
      <c r="C25" s="3" t="s">
        <v>249</v>
      </c>
      <c r="D25" s="3" t="s">
        <v>282</v>
      </c>
      <c r="E25" s="3" t="s">
        <v>281</v>
      </c>
      <c r="F25" s="4">
        <f>IFERROR(__xludf.DUMMYFUNCTION("AVERAGE(ARRAYFORMULA(VALUE(TRIM(SPLIT(SUBSTITUTE(SUBSTITUTE(D25,""["",""""),""]"",""""),"","")))))"),0.5800083332799998)</f>
        <v>0.5800083333</v>
      </c>
      <c r="G25" s="4">
        <f t="shared" si="1"/>
        <v>1000</v>
      </c>
      <c r="H25" s="4">
        <f>IFERROR(__xludf.DUMMYFUNCTION("COUNTA(UNIQUE(ARRAYFORMULA(VALUE(TRIM(SPLIT(SUBSTITUTE(SUBSTITUTE(E25,""["",""""),""]"",""""),"","")))))) - 1"),16.0)</f>
        <v>16</v>
      </c>
      <c r="I25" s="3" t="s">
        <v>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41.43"/>
    <col customWidth="1" min="3" max="3" width="26.86"/>
    <col customWidth="1" min="4" max="4" width="22.86"/>
    <col customWidth="1" min="5" max="5" width="20.86"/>
    <col customWidth="1" min="6" max="6" width="19.86"/>
    <col customWidth="1" min="7" max="7" width="16.43"/>
    <col customWidth="1" min="8" max="8" width="19.43"/>
    <col customWidth="1" min="9" max="9" width="13.0"/>
    <col customWidth="1" min="10" max="27" width="8.86"/>
  </cols>
  <sheetData>
    <row r="1">
      <c r="A1" s="1" t="s">
        <v>0</v>
      </c>
      <c r="B1" s="1" t="s">
        <v>1</v>
      </c>
      <c r="C1" s="1" t="s">
        <v>2</v>
      </c>
      <c r="D1" s="2" t="s">
        <v>242</v>
      </c>
      <c r="E1" s="2" t="s">
        <v>243</v>
      </c>
      <c r="F1" s="1" t="s">
        <v>244</v>
      </c>
      <c r="G1" s="1" t="s">
        <v>5</v>
      </c>
      <c r="H1" s="1" t="s">
        <v>245</v>
      </c>
      <c r="I1" s="6" t="s">
        <v>7</v>
      </c>
    </row>
    <row r="2">
      <c r="A2" s="3" t="s">
        <v>458</v>
      </c>
      <c r="B2" s="3" t="s">
        <v>215</v>
      </c>
      <c r="C2" s="3" t="s">
        <v>10</v>
      </c>
      <c r="D2" s="3" t="s">
        <v>311</v>
      </c>
      <c r="E2" s="9" t="s">
        <v>267</v>
      </c>
      <c r="F2" s="4">
        <f>IFERROR(__xludf.DUMMYFUNCTION("AVERAGE(ARRAYFORMULA(VALUE(TRIM(SPLIT(SUBSTITUTE(SUBSTITUTE(D2,""["",""""),""]"",""""),"","")))))"),0.2375)</f>
        <v>0.2375</v>
      </c>
      <c r="G2" s="4">
        <f t="shared" ref="G2:G13" si="1">LEN(D2)-LEN(SUBSTITUTE(D2,",",""))+1</f>
        <v>200</v>
      </c>
      <c r="H2" s="4">
        <f>IFERROR(__xludf.DUMMYFUNCTION("COUNTA(UNIQUE(ARRAYFORMULA(VALUE(TRIM(SPLIT(SUBSTITUTE(SUBSTITUTE(E2,""["",""""),""]"",""""),"","")))))) - 1"),8.0)</f>
        <v>8</v>
      </c>
      <c r="I2" s="3" t="s">
        <v>12</v>
      </c>
    </row>
    <row r="3">
      <c r="A3" s="3" t="s">
        <v>458</v>
      </c>
      <c r="B3" s="3" t="s">
        <v>215</v>
      </c>
      <c r="C3" s="3" t="s">
        <v>249</v>
      </c>
      <c r="D3" s="3" t="s">
        <v>312</v>
      </c>
      <c r="E3" s="3" t="s">
        <v>267</v>
      </c>
      <c r="F3" s="4">
        <f>IFERROR(__xludf.DUMMYFUNCTION("AVERAGE(ARRAYFORMULA(VALUE(TRIM(SPLIT(SUBSTITUTE(SUBSTITUTE(D3,""["",""""),""]"",""""),"","")))))"),0.338125)</f>
        <v>0.338125</v>
      </c>
      <c r="G3" s="4">
        <f t="shared" si="1"/>
        <v>200</v>
      </c>
      <c r="H3" s="4">
        <f>IFERROR(__xludf.DUMMYFUNCTION("COUNTA(UNIQUE(ARRAYFORMULA(VALUE(TRIM(SPLIT(SUBSTITUTE(SUBSTITUTE(E3,""["",""""),""]"",""""),"","")))))) - 1"),8.0)</f>
        <v>8</v>
      </c>
      <c r="I3" s="3" t="s">
        <v>18</v>
      </c>
    </row>
    <row r="4">
      <c r="A4" s="3" t="s">
        <v>458</v>
      </c>
      <c r="B4" s="3" t="s">
        <v>218</v>
      </c>
      <c r="C4" s="3" t="s">
        <v>10</v>
      </c>
      <c r="D4" s="3" t="s">
        <v>313</v>
      </c>
      <c r="E4" s="3" t="s">
        <v>270</v>
      </c>
      <c r="F4" s="4">
        <f>IFERROR(__xludf.DUMMYFUNCTION("AVERAGE(ARRAYFORMULA(VALUE(TRIM(SPLIT(SUBSTITUTE(SUBSTITUTE(D4,""["",""""),""]"",""""),"","")))))"),0.35400000000000065)</f>
        <v>0.354</v>
      </c>
      <c r="G4" s="4">
        <f t="shared" si="1"/>
        <v>200</v>
      </c>
      <c r="H4" s="4">
        <f>IFERROR(__xludf.DUMMYFUNCTION("COUNTA(UNIQUE(ARRAYFORMULA(VALUE(TRIM(SPLIT(SUBSTITUTE(SUBSTITUTE(E4,""["",""""),""]"",""""),"","")))))) - 1"),5.0)</f>
        <v>5</v>
      </c>
      <c r="I4" s="3" t="s">
        <v>12</v>
      </c>
    </row>
    <row r="5">
      <c r="A5" s="3" t="s">
        <v>458</v>
      </c>
      <c r="B5" s="3" t="s">
        <v>218</v>
      </c>
      <c r="C5" s="3" t="s">
        <v>249</v>
      </c>
      <c r="D5" s="3" t="s">
        <v>314</v>
      </c>
      <c r="E5" s="3" t="s">
        <v>270</v>
      </c>
      <c r="F5" s="4">
        <f>IFERROR(__xludf.DUMMYFUNCTION("AVERAGE(ARRAYFORMULA(VALUE(TRIM(SPLIT(SUBSTITUTE(SUBSTITUTE(D5,""["",""""),""]"",""""),"","")))))"),0.45300000000000035)</f>
        <v>0.453</v>
      </c>
      <c r="G5" s="4">
        <f t="shared" si="1"/>
        <v>200</v>
      </c>
      <c r="H5" s="4">
        <f>IFERROR(__xludf.DUMMYFUNCTION("COUNTA(UNIQUE(ARRAYFORMULA(VALUE(TRIM(SPLIT(SUBSTITUTE(SUBSTITUTE(E5,""["",""""),""]"",""""),"","")))))) - 1"),5.0)</f>
        <v>5</v>
      </c>
      <c r="I5" s="3" t="s">
        <v>18</v>
      </c>
    </row>
    <row r="6">
      <c r="A6" s="3" t="s">
        <v>458</v>
      </c>
      <c r="B6" s="8" t="s">
        <v>221</v>
      </c>
      <c r="C6" s="3" t="s">
        <v>10</v>
      </c>
      <c r="D6" s="3" t="s">
        <v>315</v>
      </c>
      <c r="E6" s="5" t="s">
        <v>273</v>
      </c>
      <c r="F6" s="4">
        <f>IFERROR(__xludf.DUMMYFUNCTION("AVERAGE(ARRAYFORMULA(VALUE(TRIM(SPLIT(SUBSTITUTE(SUBSTITUTE(D6,""["",""""),""]"",""""),"","")))))"),0.21085858585858586)</f>
        <v>0.2108585859</v>
      </c>
      <c r="G6" s="4">
        <f t="shared" si="1"/>
        <v>198</v>
      </c>
      <c r="H6" s="4">
        <f>IFERROR(__xludf.DUMMYFUNCTION("COUNTA(UNIQUE(ARRAYFORMULA(VALUE(TRIM(SPLIT(SUBSTITUTE(SUBSTITUTE(E6,""["",""""),""]"",""""),"","")))))) - 1"),4.0)</f>
        <v>4</v>
      </c>
      <c r="I6" s="3" t="s">
        <v>12</v>
      </c>
    </row>
    <row r="7">
      <c r="A7" s="3" t="s">
        <v>458</v>
      </c>
      <c r="B7" s="8" t="s">
        <v>221</v>
      </c>
      <c r="C7" s="3" t="s">
        <v>249</v>
      </c>
      <c r="D7" s="3" t="s">
        <v>316</v>
      </c>
      <c r="E7" s="3" t="s">
        <v>273</v>
      </c>
      <c r="F7" s="4">
        <f>IFERROR(__xludf.DUMMYFUNCTION("AVERAGE(ARRAYFORMULA(VALUE(TRIM(SPLIT(SUBSTITUTE(SUBSTITUTE(D7,""["",""""),""]"",""""),"","")))))"),0.47875)</f>
        <v>0.47875</v>
      </c>
      <c r="G7" s="4">
        <f t="shared" si="1"/>
        <v>200</v>
      </c>
      <c r="H7" s="4">
        <f>IFERROR(__xludf.DUMMYFUNCTION("COUNTA(UNIQUE(ARRAYFORMULA(VALUE(TRIM(SPLIT(SUBSTITUTE(SUBSTITUTE(E7,""["",""""),""]"",""""),"","")))))) - 1"),4.0)</f>
        <v>4</v>
      </c>
      <c r="I7" s="3" t="s">
        <v>18</v>
      </c>
    </row>
    <row r="8">
      <c r="A8" s="3" t="s">
        <v>458</v>
      </c>
      <c r="B8" s="3" t="s">
        <v>224</v>
      </c>
      <c r="C8" s="3" t="s">
        <v>10</v>
      </c>
      <c r="D8" s="3" t="s">
        <v>317</v>
      </c>
      <c r="E8" s="3" t="s">
        <v>270</v>
      </c>
      <c r="F8" s="4">
        <f>IFERROR(__xludf.DUMMYFUNCTION("AVERAGE(ARRAYFORMULA(VALUE(TRIM(SPLIT(SUBSTITUTE(SUBSTITUTE(D8,""["",""""),""]"",""""),"","")))))"),0.26532663316582933)</f>
        <v>0.2653266332</v>
      </c>
      <c r="G8" s="4">
        <f t="shared" si="1"/>
        <v>199</v>
      </c>
      <c r="H8" s="4">
        <f>IFERROR(__xludf.DUMMYFUNCTION("COUNTA(UNIQUE(ARRAYFORMULA(VALUE(TRIM(SPLIT(SUBSTITUTE(SUBSTITUTE(E8,""["",""""),""]"",""""),"","")))))) - 1"),5.0)</f>
        <v>5</v>
      </c>
      <c r="I8" s="3" t="s">
        <v>12</v>
      </c>
    </row>
    <row r="9">
      <c r="A9" s="3" t="s">
        <v>458</v>
      </c>
      <c r="B9" s="3" t="s">
        <v>224</v>
      </c>
      <c r="C9" s="3" t="s">
        <v>249</v>
      </c>
      <c r="D9" s="3" t="s">
        <v>318</v>
      </c>
      <c r="E9" s="3" t="s">
        <v>270</v>
      </c>
      <c r="F9" s="4">
        <f>IFERROR(__xludf.DUMMYFUNCTION("AVERAGE(ARRAYFORMULA(VALUE(TRIM(SPLIT(SUBSTITUTE(SUBSTITUTE(D9,""["",""""),""]"",""""),"","")))))"),0.4930000000000003)</f>
        <v>0.493</v>
      </c>
      <c r="G9" s="4">
        <f t="shared" si="1"/>
        <v>200</v>
      </c>
      <c r="H9" s="4">
        <f>IFERROR(__xludf.DUMMYFUNCTION("COUNTA(UNIQUE(ARRAYFORMULA(VALUE(TRIM(SPLIT(SUBSTITUTE(SUBSTITUTE(E9,""["",""""),""]"",""""),"","")))))) - 1"),5.0)</f>
        <v>5</v>
      </c>
      <c r="I9" s="3" t="s">
        <v>18</v>
      </c>
    </row>
    <row r="10">
      <c r="A10" s="3" t="s">
        <v>458</v>
      </c>
      <c r="B10" s="3" t="s">
        <v>227</v>
      </c>
      <c r="C10" s="3" t="s">
        <v>10</v>
      </c>
      <c r="D10" s="3" t="s">
        <v>319</v>
      </c>
      <c r="E10" s="3" t="s">
        <v>278</v>
      </c>
      <c r="F10" s="4">
        <f>IFERROR(__xludf.DUMMYFUNCTION("AVERAGE(ARRAYFORMULA(VALUE(TRIM(SPLIT(SUBSTITUTE(SUBSTITUTE(D10,""["",""""),""]"",""""),"","")))))"),0.4783333334000001)</f>
        <v>0.4783333334</v>
      </c>
      <c r="G10" s="4">
        <f t="shared" si="1"/>
        <v>200</v>
      </c>
      <c r="H10" s="4">
        <f>IFERROR(__xludf.DUMMYFUNCTION("COUNTA(UNIQUE(ARRAYFORMULA(VALUE(TRIM(SPLIT(SUBSTITUTE(SUBSTITUTE(E10,""["",""""),""]"",""""),"","")))))) - 1"),6.0)</f>
        <v>6</v>
      </c>
      <c r="I10" s="3" t="s">
        <v>18</v>
      </c>
    </row>
    <row r="11">
      <c r="A11" s="3" t="s">
        <v>458</v>
      </c>
      <c r="B11" s="3" t="s">
        <v>227</v>
      </c>
      <c r="C11" s="3" t="s">
        <v>249</v>
      </c>
      <c r="D11" s="3" t="s">
        <v>320</v>
      </c>
      <c r="E11" s="3" t="s">
        <v>278</v>
      </c>
      <c r="F11" s="4">
        <f>IFERROR(__xludf.DUMMYFUNCTION("AVERAGE(ARRAYFORMULA(VALUE(TRIM(SPLIT(SUBSTITUTE(SUBSTITUTE(D11,""["",""""),""]"",""""),"","")))))"),0.5141666666)</f>
        <v>0.5141666666</v>
      </c>
      <c r="G11" s="4">
        <f t="shared" si="1"/>
        <v>200</v>
      </c>
      <c r="H11" s="4">
        <f>IFERROR(__xludf.DUMMYFUNCTION("COUNTA(UNIQUE(ARRAYFORMULA(VALUE(TRIM(SPLIT(SUBSTITUTE(SUBSTITUTE(E11,""["",""""),""]"",""""),"","")))))) - 1"),6.0)</f>
        <v>6</v>
      </c>
      <c r="I11" s="3" t="s">
        <v>18</v>
      </c>
    </row>
    <row r="12">
      <c r="A12" s="3" t="s">
        <v>458</v>
      </c>
      <c r="B12" s="3" t="s">
        <v>118</v>
      </c>
      <c r="C12" s="3" t="s">
        <v>10</v>
      </c>
      <c r="D12" s="3" t="s">
        <v>321</v>
      </c>
      <c r="E12" s="3" t="s">
        <v>281</v>
      </c>
      <c r="F12" s="4">
        <f>IFERROR(__xludf.DUMMYFUNCTION("AVERAGE(ARRAYFORMULA(VALUE(TRIM(SPLIT(SUBSTITUTE(SUBSTITUTE(D12,""["",""""),""]"",""""),"","")))))"),0.3094450016850553)</f>
        <v>0.3094450017</v>
      </c>
      <c r="G12" s="4">
        <f t="shared" si="1"/>
        <v>997</v>
      </c>
      <c r="H12" s="4">
        <f>IFERROR(__xludf.DUMMYFUNCTION("COUNTA(UNIQUE(ARRAYFORMULA(VALUE(TRIM(SPLIT(SUBSTITUTE(SUBSTITUTE(E12,""["",""""),""]"",""""),"","")))))) - 1"),16.0)</f>
        <v>16</v>
      </c>
      <c r="I12" s="3" t="s">
        <v>12</v>
      </c>
    </row>
    <row r="13">
      <c r="A13" s="3" t="s">
        <v>458</v>
      </c>
      <c r="B13" s="3" t="s">
        <v>118</v>
      </c>
      <c r="C13" s="3" t="s">
        <v>249</v>
      </c>
      <c r="D13" s="3" t="s">
        <v>322</v>
      </c>
      <c r="E13" s="3" t="s">
        <v>281</v>
      </c>
      <c r="F13" s="4">
        <f>IFERROR(__xludf.DUMMYFUNCTION("AVERAGE(ARRAYFORMULA(VALUE(TRIM(SPLIT(SUBSTITUTE(SUBSTITUTE(D13,""["",""""),""]"",""""),"","")))))"),0.45540833331999914)</f>
        <v>0.4554083333</v>
      </c>
      <c r="G13" s="4">
        <f t="shared" si="1"/>
        <v>1000</v>
      </c>
      <c r="H13" s="4">
        <f>IFERROR(__xludf.DUMMYFUNCTION("COUNTA(UNIQUE(ARRAYFORMULA(VALUE(TRIM(SPLIT(SUBSTITUTE(SUBSTITUTE(E13,""["",""""),""]"",""""),"","")))))) - 1"),16.0)</f>
        <v>16</v>
      </c>
      <c r="I13" s="3" t="s">
        <v>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43.71"/>
    <col customWidth="1" min="3" max="3" width="17.57"/>
    <col customWidth="1" min="4" max="5" width="19.0"/>
    <col customWidth="1" min="6" max="6" width="19.14"/>
    <col customWidth="1" min="7" max="7" width="19.29"/>
    <col customWidth="1" min="8" max="8" width="14.0"/>
    <col customWidth="1" min="9" max="27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459</v>
      </c>
      <c r="B2" s="3" t="s">
        <v>32</v>
      </c>
      <c r="C2" s="4" t="s">
        <v>10</v>
      </c>
      <c r="D2" s="3" t="s">
        <v>33</v>
      </c>
      <c r="E2" s="4">
        <f t="shared" ref="E2:E103" si="1">(LEN(D2)-LEN(SUBSTITUTE(D2,"True","")))/4</f>
        <v>149</v>
      </c>
      <c r="F2" s="4">
        <f t="shared" ref="F2:F103" si="2">LEN(D2)-LEN(SUBSTITUTE(D2,",",""))+1</f>
        <v>200</v>
      </c>
      <c r="G2" s="4">
        <f t="shared" ref="G2:G103" si="3"> E2 / F2</f>
        <v>0.745</v>
      </c>
      <c r="H2" s="4" t="s">
        <v>18</v>
      </c>
    </row>
    <row r="3">
      <c r="A3" s="3" t="s">
        <v>459</v>
      </c>
      <c r="B3" s="3" t="s">
        <v>32</v>
      </c>
      <c r="C3" s="4" t="s">
        <v>13</v>
      </c>
      <c r="D3" s="3" t="s">
        <v>34</v>
      </c>
      <c r="E3" s="4">
        <f t="shared" si="1"/>
        <v>151</v>
      </c>
      <c r="F3" s="4">
        <f t="shared" si="2"/>
        <v>200</v>
      </c>
      <c r="G3" s="4">
        <f t="shared" si="3"/>
        <v>0.755</v>
      </c>
      <c r="H3" s="4" t="s">
        <v>18</v>
      </c>
    </row>
    <row r="4">
      <c r="A4" s="3" t="s">
        <v>459</v>
      </c>
      <c r="B4" s="3" t="s">
        <v>32</v>
      </c>
      <c r="C4" s="4" t="s">
        <v>16</v>
      </c>
      <c r="D4" s="3" t="s">
        <v>35</v>
      </c>
      <c r="E4" s="4">
        <f t="shared" si="1"/>
        <v>158</v>
      </c>
      <c r="F4" s="4">
        <f t="shared" si="2"/>
        <v>200</v>
      </c>
      <c r="G4" s="4">
        <f t="shared" si="3"/>
        <v>0.79</v>
      </c>
      <c r="H4" s="4" t="s">
        <v>18</v>
      </c>
    </row>
    <row r="5">
      <c r="A5" s="3" t="s">
        <v>459</v>
      </c>
      <c r="B5" s="3" t="s">
        <v>36</v>
      </c>
      <c r="C5" s="4" t="s">
        <v>10</v>
      </c>
      <c r="D5" s="3" t="s">
        <v>37</v>
      </c>
      <c r="E5" s="4">
        <f t="shared" si="1"/>
        <v>123</v>
      </c>
      <c r="F5" s="4">
        <f t="shared" si="2"/>
        <v>200</v>
      </c>
      <c r="G5" s="4">
        <f t="shared" si="3"/>
        <v>0.615</v>
      </c>
      <c r="H5" s="4" t="s">
        <v>12</v>
      </c>
    </row>
    <row r="6">
      <c r="A6" s="3" t="s">
        <v>459</v>
      </c>
      <c r="B6" s="3" t="s">
        <v>36</v>
      </c>
      <c r="C6" s="4" t="s">
        <v>13</v>
      </c>
      <c r="D6" s="3" t="s">
        <v>38</v>
      </c>
      <c r="E6" s="4">
        <f t="shared" si="1"/>
        <v>172</v>
      </c>
      <c r="F6" s="4">
        <f t="shared" si="2"/>
        <v>200</v>
      </c>
      <c r="G6" s="4">
        <f t="shared" si="3"/>
        <v>0.86</v>
      </c>
      <c r="H6" s="4" t="s">
        <v>18</v>
      </c>
    </row>
    <row r="7">
      <c r="A7" s="3" t="s">
        <v>459</v>
      </c>
      <c r="B7" s="3" t="s">
        <v>36</v>
      </c>
      <c r="C7" s="4" t="s">
        <v>16</v>
      </c>
      <c r="D7" s="3" t="s">
        <v>39</v>
      </c>
      <c r="E7" s="4">
        <f t="shared" si="1"/>
        <v>173</v>
      </c>
      <c r="F7" s="4">
        <f t="shared" si="2"/>
        <v>200</v>
      </c>
      <c r="G7" s="4">
        <f t="shared" si="3"/>
        <v>0.865</v>
      </c>
      <c r="H7" s="4" t="s">
        <v>18</v>
      </c>
    </row>
    <row r="8">
      <c r="A8" s="3" t="s">
        <v>459</v>
      </c>
      <c r="B8" s="3" t="s">
        <v>40</v>
      </c>
      <c r="C8" s="4" t="s">
        <v>10</v>
      </c>
      <c r="D8" s="3" t="s">
        <v>41</v>
      </c>
      <c r="E8" s="4">
        <f t="shared" si="1"/>
        <v>166</v>
      </c>
      <c r="F8" s="4">
        <f t="shared" si="2"/>
        <v>199</v>
      </c>
      <c r="G8" s="4">
        <f t="shared" si="3"/>
        <v>0.8341708543</v>
      </c>
      <c r="H8" s="4" t="s">
        <v>18</v>
      </c>
    </row>
    <row r="9" ht="15.75" customHeight="1">
      <c r="A9" s="3" t="s">
        <v>459</v>
      </c>
      <c r="B9" s="3" t="s">
        <v>40</v>
      </c>
      <c r="C9" s="4" t="s">
        <v>13</v>
      </c>
      <c r="D9" s="3" t="s">
        <v>42</v>
      </c>
      <c r="E9" s="4">
        <f t="shared" si="1"/>
        <v>166</v>
      </c>
      <c r="F9" s="4">
        <f t="shared" si="2"/>
        <v>200</v>
      </c>
      <c r="G9" s="4">
        <f t="shared" si="3"/>
        <v>0.83</v>
      </c>
      <c r="H9" s="4" t="s">
        <v>18</v>
      </c>
    </row>
    <row r="10" ht="15.75" customHeight="1">
      <c r="A10" s="3" t="s">
        <v>459</v>
      </c>
      <c r="B10" s="3" t="s">
        <v>40</v>
      </c>
      <c r="C10" s="4" t="s">
        <v>16</v>
      </c>
      <c r="D10" s="3" t="s">
        <v>43</v>
      </c>
      <c r="E10" s="4">
        <f t="shared" si="1"/>
        <v>167</v>
      </c>
      <c r="F10" s="4">
        <f t="shared" si="2"/>
        <v>185</v>
      </c>
      <c r="G10" s="4">
        <f t="shared" si="3"/>
        <v>0.9027027027</v>
      </c>
      <c r="H10" s="4" t="s">
        <v>18</v>
      </c>
    </row>
    <row r="11" ht="15.75" customHeight="1">
      <c r="A11" s="3" t="s">
        <v>459</v>
      </c>
      <c r="B11" s="3" t="s">
        <v>44</v>
      </c>
      <c r="C11" s="4" t="s">
        <v>10</v>
      </c>
      <c r="D11" s="3" t="s">
        <v>45</v>
      </c>
      <c r="E11" s="4">
        <f t="shared" si="1"/>
        <v>131</v>
      </c>
      <c r="F11" s="4">
        <f t="shared" si="2"/>
        <v>200</v>
      </c>
      <c r="G11" s="4">
        <f t="shared" si="3"/>
        <v>0.655</v>
      </c>
      <c r="H11" s="4" t="s">
        <v>12</v>
      </c>
    </row>
    <row r="12" ht="15.75" customHeight="1">
      <c r="A12" s="3" t="s">
        <v>459</v>
      </c>
      <c r="B12" s="3" t="s">
        <v>44</v>
      </c>
      <c r="C12" s="4" t="s">
        <v>13</v>
      </c>
      <c r="D12" s="3" t="s">
        <v>46</v>
      </c>
      <c r="E12" s="4">
        <f t="shared" si="1"/>
        <v>163</v>
      </c>
      <c r="F12" s="4">
        <f t="shared" si="2"/>
        <v>199</v>
      </c>
      <c r="G12" s="4">
        <f t="shared" si="3"/>
        <v>0.8190954774</v>
      </c>
      <c r="H12" s="4" t="s">
        <v>18</v>
      </c>
    </row>
    <row r="13" ht="15.75" customHeight="1">
      <c r="A13" s="3" t="s">
        <v>459</v>
      </c>
      <c r="B13" s="3" t="s">
        <v>44</v>
      </c>
      <c r="C13" s="4" t="s">
        <v>16</v>
      </c>
      <c r="D13" s="3" t="s">
        <v>47</v>
      </c>
      <c r="E13" s="4">
        <f t="shared" si="1"/>
        <v>174</v>
      </c>
      <c r="F13" s="4">
        <f t="shared" si="2"/>
        <v>200</v>
      </c>
      <c r="G13" s="4">
        <f t="shared" si="3"/>
        <v>0.87</v>
      </c>
      <c r="H13" s="4" t="s">
        <v>18</v>
      </c>
    </row>
    <row r="14" ht="15.75" customHeight="1">
      <c r="A14" s="3" t="s">
        <v>459</v>
      </c>
      <c r="B14" s="4" t="s">
        <v>48</v>
      </c>
      <c r="C14" s="4" t="s">
        <v>10</v>
      </c>
      <c r="D14" s="3" t="s">
        <v>49</v>
      </c>
      <c r="E14" s="4">
        <f t="shared" si="1"/>
        <v>109</v>
      </c>
      <c r="F14" s="4">
        <f t="shared" si="2"/>
        <v>200</v>
      </c>
      <c r="G14" s="4">
        <f t="shared" si="3"/>
        <v>0.545</v>
      </c>
      <c r="H14" s="4" t="s">
        <v>12</v>
      </c>
    </row>
    <row r="15" ht="15.75" customHeight="1">
      <c r="A15" s="3" t="s">
        <v>459</v>
      </c>
      <c r="B15" s="4" t="s">
        <v>48</v>
      </c>
      <c r="C15" s="4" t="s">
        <v>13</v>
      </c>
      <c r="D15" s="3" t="s">
        <v>50</v>
      </c>
      <c r="E15" s="4">
        <f t="shared" si="1"/>
        <v>164</v>
      </c>
      <c r="F15" s="4">
        <f t="shared" si="2"/>
        <v>200</v>
      </c>
      <c r="G15" s="4">
        <f t="shared" si="3"/>
        <v>0.82</v>
      </c>
      <c r="H15" s="4" t="s">
        <v>18</v>
      </c>
    </row>
    <row r="16" ht="15.75" customHeight="1">
      <c r="A16" s="3" t="s">
        <v>459</v>
      </c>
      <c r="B16" s="4" t="s">
        <v>48</v>
      </c>
      <c r="C16" s="4" t="s">
        <v>16</v>
      </c>
      <c r="D16" s="3" t="s">
        <v>51</v>
      </c>
      <c r="E16" s="4">
        <f t="shared" si="1"/>
        <v>170</v>
      </c>
      <c r="F16" s="4">
        <f t="shared" si="2"/>
        <v>200</v>
      </c>
      <c r="G16" s="4">
        <f t="shared" si="3"/>
        <v>0.85</v>
      </c>
      <c r="H16" s="4" t="s">
        <v>18</v>
      </c>
    </row>
    <row r="17" ht="15.75" customHeight="1">
      <c r="A17" s="3" t="s">
        <v>459</v>
      </c>
      <c r="B17" s="4" t="s">
        <v>52</v>
      </c>
      <c r="C17" s="4" t="s">
        <v>10</v>
      </c>
      <c r="D17" s="3" t="s">
        <v>53</v>
      </c>
      <c r="E17" s="4">
        <f t="shared" si="1"/>
        <v>189</v>
      </c>
      <c r="F17" s="4">
        <f t="shared" si="2"/>
        <v>200</v>
      </c>
      <c r="G17" s="4">
        <f t="shared" si="3"/>
        <v>0.945</v>
      </c>
      <c r="H17" s="4" t="s">
        <v>18</v>
      </c>
    </row>
    <row r="18" ht="15.75" customHeight="1">
      <c r="A18" s="3" t="s">
        <v>459</v>
      </c>
      <c r="B18" s="4" t="s">
        <v>52</v>
      </c>
      <c r="C18" s="4" t="s">
        <v>13</v>
      </c>
      <c r="D18" s="3" t="s">
        <v>54</v>
      </c>
      <c r="E18" s="4">
        <f t="shared" si="1"/>
        <v>175</v>
      </c>
      <c r="F18" s="4">
        <f t="shared" si="2"/>
        <v>199</v>
      </c>
      <c r="G18" s="4">
        <f t="shared" si="3"/>
        <v>0.8793969849</v>
      </c>
      <c r="H18" s="4" t="s">
        <v>18</v>
      </c>
    </row>
    <row r="19" ht="15.75" customHeight="1">
      <c r="A19" s="3" t="s">
        <v>459</v>
      </c>
      <c r="B19" s="4" t="s">
        <v>52</v>
      </c>
      <c r="C19" s="4" t="s">
        <v>16</v>
      </c>
      <c r="D19" s="3" t="s">
        <v>55</v>
      </c>
      <c r="E19" s="4">
        <f t="shared" si="1"/>
        <v>187</v>
      </c>
      <c r="F19" s="4">
        <f t="shared" si="2"/>
        <v>200</v>
      </c>
      <c r="G19" s="4">
        <f t="shared" si="3"/>
        <v>0.935</v>
      </c>
      <c r="H19" s="4" t="s">
        <v>18</v>
      </c>
    </row>
    <row r="20" ht="15.75" customHeight="1">
      <c r="A20" s="3" t="s">
        <v>459</v>
      </c>
      <c r="B20" s="4" t="s">
        <v>56</v>
      </c>
      <c r="C20" s="4" t="s">
        <v>10</v>
      </c>
      <c r="D20" s="3" t="s">
        <v>57</v>
      </c>
      <c r="E20" s="4">
        <f t="shared" si="1"/>
        <v>159</v>
      </c>
      <c r="F20" s="4">
        <f t="shared" si="2"/>
        <v>199</v>
      </c>
      <c r="G20" s="4">
        <f t="shared" si="3"/>
        <v>0.7989949749</v>
      </c>
      <c r="H20" s="4" t="s">
        <v>58</v>
      </c>
    </row>
    <row r="21" ht="15.75" customHeight="1">
      <c r="A21" s="3" t="s">
        <v>459</v>
      </c>
      <c r="B21" s="4" t="s">
        <v>56</v>
      </c>
      <c r="C21" s="4" t="s">
        <v>13</v>
      </c>
      <c r="D21" s="3" t="s">
        <v>59</v>
      </c>
      <c r="E21" s="4">
        <f t="shared" si="1"/>
        <v>151</v>
      </c>
      <c r="F21" s="4">
        <f t="shared" si="2"/>
        <v>200</v>
      </c>
      <c r="G21" s="4">
        <f t="shared" si="3"/>
        <v>0.755</v>
      </c>
      <c r="H21" s="4" t="s">
        <v>12</v>
      </c>
    </row>
    <row r="22" ht="15.75" customHeight="1">
      <c r="A22" s="3" t="s">
        <v>459</v>
      </c>
      <c r="B22" s="4" t="s">
        <v>56</v>
      </c>
      <c r="C22" s="4" t="s">
        <v>16</v>
      </c>
      <c r="D22" s="3" t="s">
        <v>60</v>
      </c>
      <c r="E22" s="4">
        <f t="shared" si="1"/>
        <v>178</v>
      </c>
      <c r="F22" s="4">
        <f t="shared" si="2"/>
        <v>200</v>
      </c>
      <c r="G22" s="4">
        <f t="shared" si="3"/>
        <v>0.89</v>
      </c>
      <c r="H22" s="4" t="s">
        <v>18</v>
      </c>
    </row>
    <row r="23" ht="15.75" customHeight="1">
      <c r="A23" s="3" t="s">
        <v>459</v>
      </c>
      <c r="B23" s="4" t="s">
        <v>61</v>
      </c>
      <c r="C23" s="4" t="s">
        <v>10</v>
      </c>
      <c r="D23" s="3" t="s">
        <v>62</v>
      </c>
      <c r="E23" s="4">
        <f t="shared" si="1"/>
        <v>100</v>
      </c>
      <c r="F23" s="4">
        <f t="shared" si="2"/>
        <v>200</v>
      </c>
      <c r="G23" s="4">
        <f t="shared" si="3"/>
        <v>0.5</v>
      </c>
      <c r="H23" s="4" t="s">
        <v>18</v>
      </c>
    </row>
    <row r="24" ht="15.75" customHeight="1">
      <c r="A24" s="3" t="s">
        <v>459</v>
      </c>
      <c r="B24" s="4" t="s">
        <v>61</v>
      </c>
      <c r="C24" s="4" t="s">
        <v>13</v>
      </c>
      <c r="D24" s="3" t="s">
        <v>63</v>
      </c>
      <c r="E24" s="4">
        <f t="shared" si="1"/>
        <v>104</v>
      </c>
      <c r="F24" s="4">
        <f t="shared" si="2"/>
        <v>200</v>
      </c>
      <c r="G24" s="4">
        <f t="shared" si="3"/>
        <v>0.52</v>
      </c>
      <c r="H24" s="4" t="s">
        <v>18</v>
      </c>
    </row>
    <row r="25" ht="15.75" customHeight="1">
      <c r="A25" s="3" t="s">
        <v>459</v>
      </c>
      <c r="B25" s="4" t="s">
        <v>61</v>
      </c>
      <c r="C25" s="4" t="s">
        <v>16</v>
      </c>
      <c r="D25" s="3" t="s">
        <v>64</v>
      </c>
      <c r="E25" s="4">
        <f t="shared" si="1"/>
        <v>108</v>
      </c>
      <c r="F25" s="4">
        <f t="shared" si="2"/>
        <v>200</v>
      </c>
      <c r="G25" s="4">
        <f t="shared" si="3"/>
        <v>0.54</v>
      </c>
      <c r="H25" s="4" t="s">
        <v>18</v>
      </c>
    </row>
    <row r="26" ht="15.75" customHeight="1">
      <c r="A26" s="3" t="s">
        <v>459</v>
      </c>
      <c r="B26" s="4" t="s">
        <v>65</v>
      </c>
      <c r="C26" s="4" t="s">
        <v>10</v>
      </c>
      <c r="D26" s="3" t="s">
        <v>66</v>
      </c>
      <c r="E26" s="4">
        <f t="shared" si="1"/>
        <v>145</v>
      </c>
      <c r="F26" s="4">
        <f t="shared" si="2"/>
        <v>200</v>
      </c>
      <c r="G26" s="4">
        <f t="shared" si="3"/>
        <v>0.725</v>
      </c>
      <c r="H26" s="4" t="s">
        <v>18</v>
      </c>
    </row>
    <row r="27" ht="15.75" customHeight="1">
      <c r="A27" s="3" t="s">
        <v>459</v>
      </c>
      <c r="B27" s="4" t="s">
        <v>65</v>
      </c>
      <c r="C27" s="4" t="s">
        <v>13</v>
      </c>
      <c r="D27" s="3" t="s">
        <v>67</v>
      </c>
      <c r="E27" s="4">
        <f t="shared" si="1"/>
        <v>115</v>
      </c>
      <c r="F27" s="4">
        <f t="shared" si="2"/>
        <v>200</v>
      </c>
      <c r="G27" s="4">
        <f t="shared" si="3"/>
        <v>0.575</v>
      </c>
      <c r="H27" s="4" t="s">
        <v>12</v>
      </c>
    </row>
    <row r="28" ht="15.75" customHeight="1">
      <c r="A28" s="3" t="s">
        <v>459</v>
      </c>
      <c r="B28" s="4" t="s">
        <v>65</v>
      </c>
      <c r="C28" s="4" t="s">
        <v>16</v>
      </c>
      <c r="D28" s="3" t="s">
        <v>68</v>
      </c>
      <c r="E28" s="4">
        <f t="shared" si="1"/>
        <v>140</v>
      </c>
      <c r="F28" s="4">
        <f t="shared" si="2"/>
        <v>200</v>
      </c>
      <c r="G28" s="4">
        <f t="shared" si="3"/>
        <v>0.7</v>
      </c>
      <c r="H28" s="4" t="s">
        <v>18</v>
      </c>
    </row>
    <row r="29" ht="15.75" customHeight="1">
      <c r="A29" s="3" t="s">
        <v>459</v>
      </c>
      <c r="B29" s="4" t="s">
        <v>19</v>
      </c>
      <c r="C29" s="4" t="s">
        <v>10</v>
      </c>
      <c r="D29" s="3" t="s">
        <v>69</v>
      </c>
      <c r="E29" s="4">
        <f t="shared" si="1"/>
        <v>32</v>
      </c>
      <c r="F29" s="4">
        <f t="shared" si="2"/>
        <v>199</v>
      </c>
      <c r="G29" s="4">
        <f t="shared" si="3"/>
        <v>0.1608040201</v>
      </c>
      <c r="H29" s="4" t="s">
        <v>18</v>
      </c>
    </row>
    <row r="30" ht="15.75" customHeight="1">
      <c r="A30" s="3" t="s">
        <v>459</v>
      </c>
      <c r="B30" s="4" t="s">
        <v>19</v>
      </c>
      <c r="C30" s="4" t="s">
        <v>13</v>
      </c>
      <c r="D30" s="3" t="s">
        <v>70</v>
      </c>
      <c r="E30" s="4">
        <f t="shared" si="1"/>
        <v>36</v>
      </c>
      <c r="F30" s="4">
        <f t="shared" si="2"/>
        <v>199</v>
      </c>
      <c r="G30" s="4">
        <f t="shared" si="3"/>
        <v>0.1809045226</v>
      </c>
      <c r="H30" s="4" t="s">
        <v>18</v>
      </c>
    </row>
    <row r="31" ht="15.75" customHeight="1">
      <c r="A31" s="3" t="s">
        <v>459</v>
      </c>
      <c r="B31" s="4" t="s">
        <v>19</v>
      </c>
      <c r="C31" s="4" t="s">
        <v>16</v>
      </c>
      <c r="D31" s="3" t="s">
        <v>71</v>
      </c>
      <c r="E31" s="4">
        <f t="shared" si="1"/>
        <v>55</v>
      </c>
      <c r="F31" s="4">
        <f t="shared" si="2"/>
        <v>200</v>
      </c>
      <c r="G31" s="4">
        <f t="shared" si="3"/>
        <v>0.275</v>
      </c>
      <c r="H31" s="4" t="s">
        <v>18</v>
      </c>
    </row>
    <row r="32" ht="15.75" customHeight="1">
      <c r="A32" s="3" t="s">
        <v>459</v>
      </c>
      <c r="B32" s="4" t="s">
        <v>72</v>
      </c>
      <c r="C32" s="4" t="s">
        <v>10</v>
      </c>
      <c r="D32" s="3" t="s">
        <v>73</v>
      </c>
      <c r="E32" s="4">
        <f t="shared" si="1"/>
        <v>39</v>
      </c>
      <c r="F32" s="4">
        <f t="shared" si="2"/>
        <v>200</v>
      </c>
      <c r="G32" s="4">
        <f t="shared" si="3"/>
        <v>0.195</v>
      </c>
      <c r="H32" s="4" t="s">
        <v>18</v>
      </c>
    </row>
    <row r="33" ht="15.75" customHeight="1">
      <c r="A33" s="3" t="s">
        <v>459</v>
      </c>
      <c r="B33" s="4" t="s">
        <v>72</v>
      </c>
      <c r="C33" s="4" t="s">
        <v>13</v>
      </c>
      <c r="D33" s="3" t="s">
        <v>74</v>
      </c>
      <c r="E33" s="4">
        <f t="shared" si="1"/>
        <v>10</v>
      </c>
      <c r="F33" s="4">
        <f t="shared" si="2"/>
        <v>200</v>
      </c>
      <c r="G33" s="4">
        <f t="shared" si="3"/>
        <v>0.05</v>
      </c>
      <c r="H33" s="4" t="s">
        <v>12</v>
      </c>
    </row>
    <row r="34" ht="15.75" customHeight="1">
      <c r="A34" s="3" t="s">
        <v>459</v>
      </c>
      <c r="B34" s="4" t="s">
        <v>72</v>
      </c>
      <c r="C34" s="4" t="s">
        <v>16</v>
      </c>
      <c r="D34" s="3" t="s">
        <v>75</v>
      </c>
      <c r="E34" s="4">
        <f t="shared" si="1"/>
        <v>33</v>
      </c>
      <c r="F34" s="4">
        <f t="shared" si="2"/>
        <v>200</v>
      </c>
      <c r="G34" s="4">
        <f t="shared" si="3"/>
        <v>0.165</v>
      </c>
      <c r="H34" s="4" t="s">
        <v>18</v>
      </c>
    </row>
    <row r="35" ht="15.75" customHeight="1">
      <c r="A35" s="3" t="s">
        <v>459</v>
      </c>
      <c r="B35" s="4" t="s">
        <v>9</v>
      </c>
      <c r="C35" s="4" t="s">
        <v>10</v>
      </c>
      <c r="D35" s="3" t="s">
        <v>76</v>
      </c>
      <c r="E35" s="4">
        <f t="shared" si="1"/>
        <v>27</v>
      </c>
      <c r="F35" s="4">
        <f t="shared" si="2"/>
        <v>200</v>
      </c>
      <c r="G35" s="4">
        <f t="shared" si="3"/>
        <v>0.135</v>
      </c>
      <c r="H35" s="4" t="s">
        <v>18</v>
      </c>
    </row>
    <row r="36" ht="15.75" customHeight="1">
      <c r="A36" s="3" t="s">
        <v>459</v>
      </c>
      <c r="B36" s="4" t="s">
        <v>9</v>
      </c>
      <c r="C36" s="4" t="s">
        <v>13</v>
      </c>
      <c r="D36" s="3" t="s">
        <v>77</v>
      </c>
      <c r="E36" s="4">
        <f t="shared" si="1"/>
        <v>4</v>
      </c>
      <c r="F36" s="4">
        <f t="shared" si="2"/>
        <v>200</v>
      </c>
      <c r="G36" s="4">
        <f t="shared" si="3"/>
        <v>0.02</v>
      </c>
      <c r="H36" s="4" t="s">
        <v>12</v>
      </c>
    </row>
    <row r="37" ht="15.75" customHeight="1">
      <c r="A37" s="3" t="s">
        <v>459</v>
      </c>
      <c r="B37" s="4" t="s">
        <v>9</v>
      </c>
      <c r="C37" s="4" t="s">
        <v>16</v>
      </c>
      <c r="D37" s="3" t="s">
        <v>78</v>
      </c>
      <c r="E37" s="4">
        <f t="shared" si="1"/>
        <v>18</v>
      </c>
      <c r="F37" s="4">
        <f t="shared" si="2"/>
        <v>200</v>
      </c>
      <c r="G37" s="4">
        <f t="shared" si="3"/>
        <v>0.09</v>
      </c>
      <c r="H37" s="4" t="s">
        <v>18</v>
      </c>
    </row>
    <row r="38" ht="15.75" customHeight="1">
      <c r="A38" s="3" t="s">
        <v>459</v>
      </c>
      <c r="B38" s="4" t="s">
        <v>79</v>
      </c>
      <c r="C38" s="4" t="s">
        <v>10</v>
      </c>
      <c r="D38" s="3" t="s">
        <v>80</v>
      </c>
      <c r="E38" s="4">
        <f t="shared" si="1"/>
        <v>107</v>
      </c>
      <c r="F38" s="4">
        <f t="shared" si="2"/>
        <v>200</v>
      </c>
      <c r="G38" s="4">
        <f t="shared" si="3"/>
        <v>0.535</v>
      </c>
      <c r="H38" s="4" t="s">
        <v>18</v>
      </c>
    </row>
    <row r="39" ht="15.75" customHeight="1">
      <c r="A39" s="3" t="s">
        <v>459</v>
      </c>
      <c r="B39" s="4" t="s">
        <v>79</v>
      </c>
      <c r="C39" s="4" t="s">
        <v>13</v>
      </c>
      <c r="D39" s="3" t="s">
        <v>81</v>
      </c>
      <c r="E39" s="4">
        <f t="shared" si="1"/>
        <v>119</v>
      </c>
      <c r="F39" s="4">
        <f t="shared" si="2"/>
        <v>200</v>
      </c>
      <c r="G39" s="4">
        <f t="shared" si="3"/>
        <v>0.595</v>
      </c>
      <c r="H39" s="4" t="s">
        <v>18</v>
      </c>
    </row>
    <row r="40" ht="15.75" customHeight="1">
      <c r="A40" s="3" t="s">
        <v>459</v>
      </c>
      <c r="B40" s="4" t="s">
        <v>79</v>
      </c>
      <c r="C40" s="4" t="s">
        <v>16</v>
      </c>
      <c r="D40" s="3" t="s">
        <v>82</v>
      </c>
      <c r="E40" s="4">
        <f t="shared" si="1"/>
        <v>124</v>
      </c>
      <c r="F40" s="4">
        <f t="shared" si="2"/>
        <v>200</v>
      </c>
      <c r="G40" s="4">
        <f t="shared" si="3"/>
        <v>0.62</v>
      </c>
      <c r="H40" s="4" t="s">
        <v>18</v>
      </c>
    </row>
    <row r="41" ht="15.75" customHeight="1">
      <c r="A41" s="3" t="s">
        <v>459</v>
      </c>
      <c r="B41" s="4" t="s">
        <v>83</v>
      </c>
      <c r="C41" s="4" t="s">
        <v>10</v>
      </c>
      <c r="D41" s="3" t="s">
        <v>84</v>
      </c>
      <c r="E41" s="4">
        <f t="shared" si="1"/>
        <v>156</v>
      </c>
      <c r="F41" s="4">
        <f t="shared" si="2"/>
        <v>200</v>
      </c>
      <c r="G41" s="4">
        <f t="shared" si="3"/>
        <v>0.78</v>
      </c>
      <c r="H41" s="4" t="s">
        <v>58</v>
      </c>
    </row>
    <row r="42" ht="15.75" customHeight="1">
      <c r="A42" s="3" t="s">
        <v>459</v>
      </c>
      <c r="B42" s="4" t="s">
        <v>83</v>
      </c>
      <c r="C42" s="4" t="s">
        <v>13</v>
      </c>
      <c r="D42" s="3" t="s">
        <v>85</v>
      </c>
      <c r="E42" s="4">
        <f t="shared" si="1"/>
        <v>147</v>
      </c>
      <c r="F42" s="4">
        <f t="shared" si="2"/>
        <v>200</v>
      </c>
      <c r="G42" s="4">
        <f t="shared" si="3"/>
        <v>0.735</v>
      </c>
      <c r="H42" s="4" t="s">
        <v>12</v>
      </c>
    </row>
    <row r="43" ht="15.75" customHeight="1">
      <c r="A43" s="3" t="s">
        <v>459</v>
      </c>
      <c r="B43" s="4" t="s">
        <v>83</v>
      </c>
      <c r="C43" s="4" t="s">
        <v>16</v>
      </c>
      <c r="D43" s="3" t="s">
        <v>86</v>
      </c>
      <c r="E43" s="4">
        <f t="shared" si="1"/>
        <v>169</v>
      </c>
      <c r="F43" s="4">
        <f t="shared" si="2"/>
        <v>200</v>
      </c>
      <c r="G43" s="4">
        <f t="shared" si="3"/>
        <v>0.845</v>
      </c>
      <c r="H43" s="4" t="s">
        <v>18</v>
      </c>
    </row>
    <row r="44" ht="15.75" customHeight="1">
      <c r="A44" s="3" t="s">
        <v>459</v>
      </c>
      <c r="B44" s="4" t="s">
        <v>87</v>
      </c>
      <c r="C44" s="4" t="s">
        <v>10</v>
      </c>
      <c r="D44" s="3" t="s">
        <v>88</v>
      </c>
      <c r="E44" s="4">
        <f t="shared" si="1"/>
        <v>137</v>
      </c>
      <c r="F44" s="4">
        <f t="shared" si="2"/>
        <v>200</v>
      </c>
      <c r="G44" s="4">
        <f t="shared" si="3"/>
        <v>0.685</v>
      </c>
      <c r="H44" s="4" t="s">
        <v>18</v>
      </c>
    </row>
    <row r="45" ht="15.75" customHeight="1">
      <c r="A45" s="3" t="s">
        <v>459</v>
      </c>
      <c r="B45" s="4" t="s">
        <v>87</v>
      </c>
      <c r="C45" s="4" t="s">
        <v>13</v>
      </c>
      <c r="D45" s="3" t="s">
        <v>89</v>
      </c>
      <c r="E45" s="4">
        <f t="shared" si="1"/>
        <v>141</v>
      </c>
      <c r="F45" s="4">
        <f t="shared" si="2"/>
        <v>200</v>
      </c>
      <c r="G45" s="4">
        <f t="shared" si="3"/>
        <v>0.705</v>
      </c>
      <c r="H45" s="4" t="s">
        <v>18</v>
      </c>
    </row>
    <row r="46" ht="15.75" customHeight="1">
      <c r="A46" s="3" t="s">
        <v>459</v>
      </c>
      <c r="B46" s="4" t="s">
        <v>87</v>
      </c>
      <c r="C46" s="4" t="s">
        <v>16</v>
      </c>
      <c r="D46" s="3" t="s">
        <v>90</v>
      </c>
      <c r="E46" s="4">
        <f t="shared" si="1"/>
        <v>67</v>
      </c>
      <c r="F46" s="4">
        <f t="shared" si="2"/>
        <v>200</v>
      </c>
      <c r="G46" s="4">
        <f t="shared" si="3"/>
        <v>0.335</v>
      </c>
      <c r="H46" s="4" t="s">
        <v>12</v>
      </c>
    </row>
    <row r="47" ht="15.75" customHeight="1">
      <c r="A47" s="3" t="s">
        <v>459</v>
      </c>
      <c r="B47" s="4" t="s">
        <v>23</v>
      </c>
      <c r="C47" s="4" t="s">
        <v>10</v>
      </c>
      <c r="D47" s="3" t="s">
        <v>91</v>
      </c>
      <c r="E47" s="4">
        <f t="shared" si="1"/>
        <v>75</v>
      </c>
      <c r="F47" s="4">
        <f t="shared" si="2"/>
        <v>200</v>
      </c>
      <c r="G47" s="4">
        <f t="shared" si="3"/>
        <v>0.375</v>
      </c>
      <c r="H47" s="4" t="s">
        <v>18</v>
      </c>
    </row>
    <row r="48" ht="15.75" customHeight="1">
      <c r="A48" s="3" t="s">
        <v>459</v>
      </c>
      <c r="B48" s="4" t="s">
        <v>23</v>
      </c>
      <c r="C48" s="4" t="s">
        <v>13</v>
      </c>
      <c r="D48" s="3" t="s">
        <v>92</v>
      </c>
      <c r="E48" s="4">
        <f t="shared" si="1"/>
        <v>97</v>
      </c>
      <c r="F48" s="4">
        <f t="shared" si="2"/>
        <v>200</v>
      </c>
      <c r="G48" s="4">
        <f t="shared" si="3"/>
        <v>0.485</v>
      </c>
      <c r="H48" s="4" t="s">
        <v>18</v>
      </c>
    </row>
    <row r="49" ht="15.75" customHeight="1">
      <c r="A49" s="3" t="s">
        <v>459</v>
      </c>
      <c r="B49" s="4" t="s">
        <v>23</v>
      </c>
      <c r="C49" s="4" t="s">
        <v>16</v>
      </c>
      <c r="D49" s="3" t="s">
        <v>93</v>
      </c>
      <c r="E49" s="4">
        <f t="shared" si="1"/>
        <v>93</v>
      </c>
      <c r="F49" s="4">
        <f t="shared" si="2"/>
        <v>200</v>
      </c>
      <c r="G49" s="4">
        <f t="shared" si="3"/>
        <v>0.465</v>
      </c>
      <c r="H49" s="4" t="s">
        <v>18</v>
      </c>
    </row>
    <row r="50" ht="15.75" customHeight="1">
      <c r="A50" s="3" t="s">
        <v>459</v>
      </c>
      <c r="B50" s="4" t="s">
        <v>94</v>
      </c>
      <c r="C50" s="4" t="s">
        <v>10</v>
      </c>
      <c r="D50" s="3" t="s">
        <v>95</v>
      </c>
      <c r="E50" s="4">
        <f t="shared" si="1"/>
        <v>1844</v>
      </c>
      <c r="F50" s="4">
        <f t="shared" si="2"/>
        <v>3197</v>
      </c>
      <c r="G50" s="4">
        <f t="shared" si="3"/>
        <v>0.5767907413</v>
      </c>
      <c r="H50" s="4" t="s">
        <v>12</v>
      </c>
    </row>
    <row r="51" ht="15.75" customHeight="1">
      <c r="A51" s="3" t="s">
        <v>459</v>
      </c>
      <c r="B51" s="4" t="s">
        <v>94</v>
      </c>
      <c r="C51" s="4" t="s">
        <v>13</v>
      </c>
      <c r="D51" s="3" t="s">
        <v>96</v>
      </c>
      <c r="E51" s="4">
        <f t="shared" si="1"/>
        <v>1915</v>
      </c>
      <c r="F51" s="4">
        <f t="shared" si="2"/>
        <v>3197</v>
      </c>
      <c r="G51" s="4">
        <f t="shared" si="3"/>
        <v>0.5989990616</v>
      </c>
      <c r="H51" s="4" t="s">
        <v>12</v>
      </c>
    </row>
    <row r="52" ht="15.75" customHeight="1">
      <c r="A52" s="3" t="s">
        <v>459</v>
      </c>
      <c r="B52" s="4" t="s">
        <v>94</v>
      </c>
      <c r="C52" s="4" t="s">
        <v>16</v>
      </c>
      <c r="D52" s="3" t="s">
        <v>97</v>
      </c>
      <c r="E52" s="4">
        <f t="shared" si="1"/>
        <v>2014</v>
      </c>
      <c r="F52" s="4">
        <f t="shared" si="2"/>
        <v>3185</v>
      </c>
      <c r="G52" s="4">
        <f t="shared" si="3"/>
        <v>0.6323390895</v>
      </c>
      <c r="H52" s="4" t="s">
        <v>18</v>
      </c>
    </row>
    <row r="53" ht="15.75" customHeight="1">
      <c r="A53" s="3" t="s">
        <v>460</v>
      </c>
      <c r="B53" s="4" t="s">
        <v>32</v>
      </c>
      <c r="C53" s="4" t="s">
        <v>10</v>
      </c>
      <c r="D53" s="3" t="s">
        <v>33</v>
      </c>
      <c r="E53" s="4">
        <f t="shared" si="1"/>
        <v>149</v>
      </c>
      <c r="F53" s="4">
        <f t="shared" si="2"/>
        <v>200</v>
      </c>
      <c r="G53" s="4">
        <f t="shared" si="3"/>
        <v>0.745</v>
      </c>
      <c r="H53" s="4" t="s">
        <v>18</v>
      </c>
    </row>
    <row r="54" ht="15.75" customHeight="1">
      <c r="A54" s="3" t="s">
        <v>460</v>
      </c>
      <c r="B54" s="4" t="s">
        <v>32</v>
      </c>
      <c r="C54" s="4" t="s">
        <v>13</v>
      </c>
      <c r="D54" s="3" t="s">
        <v>461</v>
      </c>
      <c r="E54" s="4">
        <f t="shared" si="1"/>
        <v>134</v>
      </c>
      <c r="F54" s="4">
        <f t="shared" si="2"/>
        <v>200</v>
      </c>
      <c r="G54" s="4">
        <f t="shared" si="3"/>
        <v>0.67</v>
      </c>
      <c r="H54" s="4" t="s">
        <v>18</v>
      </c>
    </row>
    <row r="55" ht="15.75" customHeight="1">
      <c r="A55" s="3" t="s">
        <v>460</v>
      </c>
      <c r="B55" s="4" t="s">
        <v>32</v>
      </c>
      <c r="C55" s="4" t="s">
        <v>16</v>
      </c>
      <c r="D55" s="3" t="s">
        <v>462</v>
      </c>
      <c r="E55" s="4">
        <f t="shared" si="1"/>
        <v>149</v>
      </c>
      <c r="F55" s="4">
        <f t="shared" si="2"/>
        <v>200</v>
      </c>
      <c r="G55" s="4">
        <f t="shared" si="3"/>
        <v>0.745</v>
      </c>
      <c r="H55" s="4" t="s">
        <v>18</v>
      </c>
    </row>
    <row r="56" ht="15.75" customHeight="1">
      <c r="A56" s="3" t="s">
        <v>460</v>
      </c>
      <c r="B56" s="4" t="s">
        <v>36</v>
      </c>
      <c r="C56" s="4" t="s">
        <v>10</v>
      </c>
      <c r="D56" s="3" t="s">
        <v>37</v>
      </c>
      <c r="E56" s="4">
        <f t="shared" si="1"/>
        <v>123</v>
      </c>
      <c r="F56" s="4">
        <f t="shared" si="2"/>
        <v>200</v>
      </c>
      <c r="G56" s="4">
        <f t="shared" si="3"/>
        <v>0.615</v>
      </c>
      <c r="H56" s="4" t="s">
        <v>12</v>
      </c>
    </row>
    <row r="57" ht="15.75" customHeight="1">
      <c r="A57" s="3" t="s">
        <v>460</v>
      </c>
      <c r="B57" s="4" t="s">
        <v>36</v>
      </c>
      <c r="C57" s="4" t="s">
        <v>13</v>
      </c>
      <c r="D57" s="3" t="s">
        <v>463</v>
      </c>
      <c r="E57" s="4">
        <f t="shared" si="1"/>
        <v>170</v>
      </c>
      <c r="F57" s="4">
        <f t="shared" si="2"/>
        <v>199</v>
      </c>
      <c r="G57" s="4">
        <f t="shared" si="3"/>
        <v>0.8542713568</v>
      </c>
      <c r="H57" s="4" t="s">
        <v>18</v>
      </c>
    </row>
    <row r="58" ht="15.75" customHeight="1">
      <c r="A58" s="3" t="s">
        <v>460</v>
      </c>
      <c r="B58" s="4" t="s">
        <v>36</v>
      </c>
      <c r="C58" s="4" t="s">
        <v>16</v>
      </c>
      <c r="D58" s="3" t="s">
        <v>464</v>
      </c>
      <c r="E58" s="4">
        <f t="shared" si="1"/>
        <v>166</v>
      </c>
      <c r="F58" s="4">
        <f t="shared" si="2"/>
        <v>198</v>
      </c>
      <c r="G58" s="4">
        <f t="shared" si="3"/>
        <v>0.8383838384</v>
      </c>
      <c r="H58" s="4" t="s">
        <v>18</v>
      </c>
    </row>
    <row r="59" ht="15.75" customHeight="1">
      <c r="A59" s="3" t="s">
        <v>460</v>
      </c>
      <c r="B59" s="4" t="s">
        <v>40</v>
      </c>
      <c r="C59" s="4" t="s">
        <v>10</v>
      </c>
      <c r="D59" s="3" t="s">
        <v>41</v>
      </c>
      <c r="E59" s="4">
        <f t="shared" si="1"/>
        <v>166</v>
      </c>
      <c r="F59" s="4">
        <f t="shared" si="2"/>
        <v>199</v>
      </c>
      <c r="G59" s="4">
        <f t="shared" si="3"/>
        <v>0.8341708543</v>
      </c>
      <c r="H59" s="3" t="s">
        <v>18</v>
      </c>
    </row>
    <row r="60" ht="15.75" customHeight="1">
      <c r="A60" s="3" t="s">
        <v>460</v>
      </c>
      <c r="B60" s="4" t="s">
        <v>40</v>
      </c>
      <c r="C60" s="4" t="s">
        <v>13</v>
      </c>
      <c r="D60" s="3" t="s">
        <v>465</v>
      </c>
      <c r="E60" s="4">
        <f t="shared" si="1"/>
        <v>141</v>
      </c>
      <c r="F60" s="4">
        <f t="shared" si="2"/>
        <v>200</v>
      </c>
      <c r="G60" s="4">
        <f t="shared" si="3"/>
        <v>0.705</v>
      </c>
      <c r="H60" s="4" t="s">
        <v>12</v>
      </c>
    </row>
    <row r="61" ht="15.75" customHeight="1">
      <c r="A61" s="3" t="s">
        <v>460</v>
      </c>
      <c r="B61" s="4" t="s">
        <v>40</v>
      </c>
      <c r="C61" s="4" t="s">
        <v>16</v>
      </c>
      <c r="D61" s="3" t="s">
        <v>466</v>
      </c>
      <c r="E61" s="4">
        <f t="shared" si="1"/>
        <v>178</v>
      </c>
      <c r="F61" s="4">
        <f t="shared" si="2"/>
        <v>200</v>
      </c>
      <c r="G61" s="4">
        <f t="shared" si="3"/>
        <v>0.89</v>
      </c>
      <c r="H61" s="4" t="s">
        <v>18</v>
      </c>
    </row>
    <row r="62" ht="15.75" customHeight="1">
      <c r="A62" s="3" t="s">
        <v>460</v>
      </c>
      <c r="B62" s="4" t="s">
        <v>44</v>
      </c>
      <c r="C62" s="4" t="s">
        <v>10</v>
      </c>
      <c r="D62" s="3" t="s">
        <v>45</v>
      </c>
      <c r="E62" s="4">
        <f t="shared" si="1"/>
        <v>131</v>
      </c>
      <c r="F62" s="4">
        <f t="shared" si="2"/>
        <v>200</v>
      </c>
      <c r="G62" s="4">
        <f t="shared" si="3"/>
        <v>0.655</v>
      </c>
      <c r="H62" s="4" t="s">
        <v>12</v>
      </c>
    </row>
    <row r="63" ht="15.75" customHeight="1">
      <c r="A63" s="3" t="s">
        <v>460</v>
      </c>
      <c r="B63" s="4" t="s">
        <v>44</v>
      </c>
      <c r="C63" s="4" t="s">
        <v>13</v>
      </c>
      <c r="D63" s="3" t="s">
        <v>467</v>
      </c>
      <c r="E63" s="4">
        <f t="shared" si="1"/>
        <v>158</v>
      </c>
      <c r="F63" s="4">
        <f t="shared" si="2"/>
        <v>199</v>
      </c>
      <c r="G63" s="4">
        <f t="shared" si="3"/>
        <v>0.7939698492</v>
      </c>
      <c r="H63" s="3" t="s">
        <v>18</v>
      </c>
    </row>
    <row r="64" ht="15.75" customHeight="1">
      <c r="A64" s="3" t="s">
        <v>460</v>
      </c>
      <c r="B64" s="4" t="s">
        <v>44</v>
      </c>
      <c r="C64" s="4" t="s">
        <v>16</v>
      </c>
      <c r="D64" s="3" t="s">
        <v>468</v>
      </c>
      <c r="E64" s="4">
        <f t="shared" si="1"/>
        <v>178</v>
      </c>
      <c r="F64" s="4">
        <f t="shared" si="2"/>
        <v>200</v>
      </c>
      <c r="G64" s="4">
        <f t="shared" si="3"/>
        <v>0.89</v>
      </c>
      <c r="H64" s="4" t="s">
        <v>18</v>
      </c>
    </row>
    <row r="65" ht="15.75" customHeight="1">
      <c r="A65" s="3" t="s">
        <v>460</v>
      </c>
      <c r="B65" s="4" t="s">
        <v>48</v>
      </c>
      <c r="C65" s="4" t="s">
        <v>10</v>
      </c>
      <c r="D65" s="3" t="s">
        <v>49</v>
      </c>
      <c r="E65" s="4">
        <f t="shared" si="1"/>
        <v>109</v>
      </c>
      <c r="F65" s="4">
        <f t="shared" si="2"/>
        <v>200</v>
      </c>
      <c r="G65" s="4">
        <f t="shared" si="3"/>
        <v>0.545</v>
      </c>
      <c r="H65" s="4" t="s">
        <v>12</v>
      </c>
    </row>
    <row r="66" ht="15.75" customHeight="1">
      <c r="A66" s="3" t="s">
        <v>460</v>
      </c>
      <c r="B66" s="4" t="s">
        <v>48</v>
      </c>
      <c r="C66" s="4" t="s">
        <v>13</v>
      </c>
      <c r="D66" s="3" t="s">
        <v>469</v>
      </c>
      <c r="E66" s="4">
        <f t="shared" si="1"/>
        <v>167</v>
      </c>
      <c r="F66" s="4">
        <f t="shared" si="2"/>
        <v>200</v>
      </c>
      <c r="G66" s="4">
        <f t="shared" si="3"/>
        <v>0.835</v>
      </c>
      <c r="H66" s="4" t="s">
        <v>18</v>
      </c>
    </row>
    <row r="67" ht="15.75" customHeight="1">
      <c r="A67" s="3" t="s">
        <v>460</v>
      </c>
      <c r="B67" s="4" t="s">
        <v>48</v>
      </c>
      <c r="C67" s="4" t="s">
        <v>16</v>
      </c>
      <c r="D67" s="3" t="s">
        <v>470</v>
      </c>
      <c r="E67" s="4">
        <f t="shared" si="1"/>
        <v>166</v>
      </c>
      <c r="F67" s="4">
        <f t="shared" si="2"/>
        <v>200</v>
      </c>
      <c r="G67" s="4">
        <f t="shared" si="3"/>
        <v>0.83</v>
      </c>
      <c r="H67" s="4" t="s">
        <v>18</v>
      </c>
    </row>
    <row r="68" ht="15.75" customHeight="1">
      <c r="A68" s="3" t="s">
        <v>460</v>
      </c>
      <c r="B68" s="4" t="s">
        <v>52</v>
      </c>
      <c r="C68" s="4" t="s">
        <v>10</v>
      </c>
      <c r="D68" s="3" t="s">
        <v>53</v>
      </c>
      <c r="E68" s="4">
        <f t="shared" si="1"/>
        <v>189</v>
      </c>
      <c r="F68" s="4">
        <f t="shared" si="2"/>
        <v>200</v>
      </c>
      <c r="G68" s="4">
        <f t="shared" si="3"/>
        <v>0.945</v>
      </c>
      <c r="H68" s="4" t="s">
        <v>18</v>
      </c>
    </row>
    <row r="69" ht="15.75" customHeight="1">
      <c r="A69" s="3" t="s">
        <v>460</v>
      </c>
      <c r="B69" s="4" t="s">
        <v>52</v>
      </c>
      <c r="C69" s="4" t="s">
        <v>13</v>
      </c>
      <c r="D69" s="3" t="s">
        <v>471</v>
      </c>
      <c r="E69" s="4">
        <f t="shared" si="1"/>
        <v>137</v>
      </c>
      <c r="F69" s="4">
        <f t="shared" si="2"/>
        <v>200</v>
      </c>
      <c r="G69" s="4">
        <f t="shared" si="3"/>
        <v>0.685</v>
      </c>
      <c r="H69" s="3" t="s">
        <v>12</v>
      </c>
    </row>
    <row r="70" ht="15.75" customHeight="1">
      <c r="A70" s="3" t="s">
        <v>460</v>
      </c>
      <c r="B70" s="4" t="s">
        <v>52</v>
      </c>
      <c r="C70" s="4" t="s">
        <v>16</v>
      </c>
      <c r="D70" s="3" t="s">
        <v>472</v>
      </c>
      <c r="E70" s="4">
        <f t="shared" si="1"/>
        <v>190</v>
      </c>
      <c r="F70" s="4">
        <f t="shared" si="2"/>
        <v>200</v>
      </c>
      <c r="G70" s="4">
        <f t="shared" si="3"/>
        <v>0.95</v>
      </c>
      <c r="H70" s="3" t="s">
        <v>18</v>
      </c>
    </row>
    <row r="71" ht="15.75" customHeight="1">
      <c r="A71" s="3" t="s">
        <v>460</v>
      </c>
      <c r="B71" s="4" t="s">
        <v>56</v>
      </c>
      <c r="C71" s="4" t="s">
        <v>10</v>
      </c>
      <c r="D71" s="3" t="s">
        <v>57</v>
      </c>
      <c r="E71" s="4">
        <f t="shared" si="1"/>
        <v>159</v>
      </c>
      <c r="F71" s="4">
        <f t="shared" si="2"/>
        <v>199</v>
      </c>
      <c r="G71" s="4">
        <f t="shared" si="3"/>
        <v>0.7989949749</v>
      </c>
      <c r="H71" s="3" t="s">
        <v>18</v>
      </c>
    </row>
    <row r="72" ht="15.75" customHeight="1">
      <c r="A72" s="3" t="s">
        <v>460</v>
      </c>
      <c r="B72" s="4" t="s">
        <v>56</v>
      </c>
      <c r="C72" s="4" t="s">
        <v>13</v>
      </c>
      <c r="D72" s="3" t="s">
        <v>473</v>
      </c>
      <c r="E72" s="4">
        <f t="shared" si="1"/>
        <v>169</v>
      </c>
      <c r="F72" s="4">
        <f t="shared" si="2"/>
        <v>199</v>
      </c>
      <c r="G72" s="4">
        <f t="shared" si="3"/>
        <v>0.8492462312</v>
      </c>
      <c r="H72" s="3" t="s">
        <v>18</v>
      </c>
    </row>
    <row r="73" ht="15.75" customHeight="1">
      <c r="A73" s="3" t="s">
        <v>460</v>
      </c>
      <c r="B73" s="4" t="s">
        <v>56</v>
      </c>
      <c r="C73" s="4" t="s">
        <v>16</v>
      </c>
      <c r="D73" s="3" t="s">
        <v>474</v>
      </c>
      <c r="E73" s="4">
        <f t="shared" si="1"/>
        <v>174</v>
      </c>
      <c r="F73" s="4">
        <f t="shared" si="2"/>
        <v>200</v>
      </c>
      <c r="G73" s="4">
        <f t="shared" si="3"/>
        <v>0.87</v>
      </c>
      <c r="H73" s="4" t="s">
        <v>18</v>
      </c>
    </row>
    <row r="74" ht="15.75" customHeight="1">
      <c r="A74" s="3" t="s">
        <v>460</v>
      </c>
      <c r="B74" s="4" t="s">
        <v>61</v>
      </c>
      <c r="C74" s="4" t="s">
        <v>10</v>
      </c>
      <c r="D74" s="3" t="s">
        <v>62</v>
      </c>
      <c r="E74" s="4">
        <f t="shared" si="1"/>
        <v>100</v>
      </c>
      <c r="F74" s="4">
        <f t="shared" si="2"/>
        <v>200</v>
      </c>
      <c r="G74" s="4">
        <f t="shared" si="3"/>
        <v>0.5</v>
      </c>
      <c r="H74" s="4" t="s">
        <v>18</v>
      </c>
    </row>
    <row r="75" ht="15.75" customHeight="1">
      <c r="A75" s="3" t="s">
        <v>460</v>
      </c>
      <c r="B75" s="4" t="s">
        <v>61</v>
      </c>
      <c r="C75" s="4" t="s">
        <v>13</v>
      </c>
      <c r="D75" s="3" t="s">
        <v>475</v>
      </c>
      <c r="E75" s="4">
        <f t="shared" si="1"/>
        <v>56</v>
      </c>
      <c r="F75" s="4">
        <f t="shared" si="2"/>
        <v>200</v>
      </c>
      <c r="G75" s="4">
        <f t="shared" si="3"/>
        <v>0.28</v>
      </c>
      <c r="H75" s="4" t="s">
        <v>12</v>
      </c>
    </row>
    <row r="76" ht="15.75" customHeight="1">
      <c r="A76" s="3" t="s">
        <v>460</v>
      </c>
      <c r="B76" s="4" t="s">
        <v>61</v>
      </c>
      <c r="C76" s="4" t="s">
        <v>16</v>
      </c>
      <c r="D76" s="3" t="s">
        <v>476</v>
      </c>
      <c r="E76" s="4">
        <f t="shared" si="1"/>
        <v>96</v>
      </c>
      <c r="F76" s="4">
        <f t="shared" si="2"/>
        <v>199</v>
      </c>
      <c r="G76" s="4">
        <f t="shared" si="3"/>
        <v>0.4824120603</v>
      </c>
      <c r="H76" s="4" t="s">
        <v>18</v>
      </c>
    </row>
    <row r="77" ht="15.75" customHeight="1">
      <c r="A77" s="3" t="s">
        <v>460</v>
      </c>
      <c r="B77" s="4" t="s">
        <v>65</v>
      </c>
      <c r="C77" s="4" t="s">
        <v>10</v>
      </c>
      <c r="D77" s="3" t="s">
        <v>66</v>
      </c>
      <c r="E77" s="4">
        <f t="shared" si="1"/>
        <v>145</v>
      </c>
      <c r="F77" s="4">
        <f t="shared" si="2"/>
        <v>200</v>
      </c>
      <c r="G77" s="4">
        <f t="shared" si="3"/>
        <v>0.725</v>
      </c>
      <c r="H77" s="3" t="s">
        <v>18</v>
      </c>
    </row>
    <row r="78" ht="15.75" customHeight="1">
      <c r="A78" s="3" t="s">
        <v>460</v>
      </c>
      <c r="B78" s="4" t="s">
        <v>65</v>
      </c>
      <c r="C78" s="4" t="s">
        <v>13</v>
      </c>
      <c r="D78" s="3" t="s">
        <v>477</v>
      </c>
      <c r="E78" s="4">
        <f t="shared" si="1"/>
        <v>90</v>
      </c>
      <c r="F78" s="4">
        <f t="shared" si="2"/>
        <v>200</v>
      </c>
      <c r="G78" s="4">
        <f t="shared" si="3"/>
        <v>0.45</v>
      </c>
      <c r="H78" s="3" t="s">
        <v>12</v>
      </c>
    </row>
    <row r="79" ht="15.75" customHeight="1">
      <c r="A79" s="3" t="s">
        <v>460</v>
      </c>
      <c r="B79" s="4" t="s">
        <v>65</v>
      </c>
      <c r="C79" s="4" t="s">
        <v>16</v>
      </c>
      <c r="D79" s="3" t="s">
        <v>478</v>
      </c>
      <c r="E79" s="4">
        <f t="shared" si="1"/>
        <v>128</v>
      </c>
      <c r="F79" s="4">
        <f t="shared" si="2"/>
        <v>199</v>
      </c>
      <c r="G79" s="4">
        <f t="shared" si="3"/>
        <v>0.6432160804</v>
      </c>
      <c r="H79" s="3" t="s">
        <v>18</v>
      </c>
    </row>
    <row r="80" ht="15.75" customHeight="1">
      <c r="A80" s="3" t="s">
        <v>460</v>
      </c>
      <c r="B80" s="4" t="s">
        <v>19</v>
      </c>
      <c r="C80" s="4" t="s">
        <v>10</v>
      </c>
      <c r="D80" s="3" t="s">
        <v>69</v>
      </c>
      <c r="E80" s="4">
        <f t="shared" si="1"/>
        <v>32</v>
      </c>
      <c r="F80" s="4">
        <f t="shared" si="2"/>
        <v>199</v>
      </c>
      <c r="G80" s="4">
        <f t="shared" si="3"/>
        <v>0.1608040201</v>
      </c>
      <c r="H80" s="3" t="s">
        <v>18</v>
      </c>
    </row>
    <row r="81" ht="15.75" customHeight="1">
      <c r="A81" s="3" t="s">
        <v>460</v>
      </c>
      <c r="B81" s="4" t="s">
        <v>19</v>
      </c>
      <c r="C81" s="4" t="s">
        <v>13</v>
      </c>
      <c r="D81" s="3" t="s">
        <v>479</v>
      </c>
      <c r="E81" s="4">
        <f t="shared" si="1"/>
        <v>28</v>
      </c>
      <c r="F81" s="4">
        <f t="shared" si="2"/>
        <v>200</v>
      </c>
      <c r="G81" s="4">
        <f t="shared" si="3"/>
        <v>0.14</v>
      </c>
      <c r="H81" s="4" t="s">
        <v>18</v>
      </c>
    </row>
    <row r="82" ht="15.75" customHeight="1">
      <c r="A82" s="3" t="s">
        <v>460</v>
      </c>
      <c r="B82" s="4" t="s">
        <v>19</v>
      </c>
      <c r="C82" s="4" t="s">
        <v>16</v>
      </c>
      <c r="D82" s="3" t="s">
        <v>480</v>
      </c>
      <c r="E82" s="4">
        <f t="shared" si="1"/>
        <v>44</v>
      </c>
      <c r="F82" s="4">
        <f t="shared" si="2"/>
        <v>200</v>
      </c>
      <c r="G82" s="4">
        <f t="shared" si="3"/>
        <v>0.22</v>
      </c>
      <c r="H82" s="4" t="s">
        <v>18</v>
      </c>
    </row>
    <row r="83" ht="15.75" customHeight="1">
      <c r="A83" s="3" t="s">
        <v>460</v>
      </c>
      <c r="B83" s="4" t="s">
        <v>72</v>
      </c>
      <c r="C83" s="4" t="s">
        <v>10</v>
      </c>
      <c r="D83" s="3" t="s">
        <v>73</v>
      </c>
      <c r="E83" s="4">
        <f t="shared" si="1"/>
        <v>39</v>
      </c>
      <c r="F83" s="4">
        <f t="shared" si="2"/>
        <v>200</v>
      </c>
      <c r="G83" s="4">
        <f t="shared" si="3"/>
        <v>0.195</v>
      </c>
      <c r="H83" s="3" t="s">
        <v>18</v>
      </c>
    </row>
    <row r="84" ht="15.75" customHeight="1">
      <c r="A84" s="3" t="s">
        <v>460</v>
      </c>
      <c r="B84" s="4" t="s">
        <v>72</v>
      </c>
      <c r="C84" s="4" t="s">
        <v>13</v>
      </c>
      <c r="D84" s="3" t="s">
        <v>481</v>
      </c>
      <c r="E84" s="4">
        <f t="shared" si="1"/>
        <v>16</v>
      </c>
      <c r="F84" s="4">
        <f t="shared" si="2"/>
        <v>200</v>
      </c>
      <c r="G84" s="4">
        <f t="shared" si="3"/>
        <v>0.08</v>
      </c>
      <c r="H84" s="4" t="s">
        <v>12</v>
      </c>
    </row>
    <row r="85" ht="15.75" customHeight="1">
      <c r="A85" s="3" t="s">
        <v>460</v>
      </c>
      <c r="B85" s="4" t="s">
        <v>72</v>
      </c>
      <c r="C85" s="4" t="s">
        <v>16</v>
      </c>
      <c r="D85" s="3" t="s">
        <v>482</v>
      </c>
      <c r="E85" s="4">
        <f t="shared" si="1"/>
        <v>57</v>
      </c>
      <c r="F85" s="4">
        <f t="shared" si="2"/>
        <v>200</v>
      </c>
      <c r="G85" s="4">
        <f t="shared" si="3"/>
        <v>0.285</v>
      </c>
      <c r="H85" s="4" t="s">
        <v>18</v>
      </c>
    </row>
    <row r="86" ht="15.75" customHeight="1">
      <c r="A86" s="3" t="s">
        <v>460</v>
      </c>
      <c r="B86" s="4" t="s">
        <v>9</v>
      </c>
      <c r="C86" s="4" t="s">
        <v>10</v>
      </c>
      <c r="D86" s="3" t="s">
        <v>76</v>
      </c>
      <c r="E86" s="4">
        <f t="shared" si="1"/>
        <v>27</v>
      </c>
      <c r="F86" s="4">
        <f t="shared" si="2"/>
        <v>200</v>
      </c>
      <c r="G86" s="4">
        <f t="shared" si="3"/>
        <v>0.135</v>
      </c>
      <c r="H86" s="4" t="s">
        <v>58</v>
      </c>
    </row>
    <row r="87" ht="15.75" customHeight="1">
      <c r="A87" s="3" t="s">
        <v>460</v>
      </c>
      <c r="B87" s="4" t="s">
        <v>9</v>
      </c>
      <c r="C87" s="4" t="s">
        <v>13</v>
      </c>
      <c r="D87" s="3" t="s">
        <v>483</v>
      </c>
      <c r="E87" s="4">
        <f t="shared" si="1"/>
        <v>12</v>
      </c>
      <c r="F87" s="4">
        <f t="shared" si="2"/>
        <v>200</v>
      </c>
      <c r="G87" s="4">
        <f t="shared" si="3"/>
        <v>0.06</v>
      </c>
      <c r="H87" s="4" t="s">
        <v>12</v>
      </c>
    </row>
    <row r="88" ht="15.75" customHeight="1">
      <c r="A88" s="3" t="s">
        <v>460</v>
      </c>
      <c r="B88" s="4" t="s">
        <v>9</v>
      </c>
      <c r="C88" s="4" t="s">
        <v>16</v>
      </c>
      <c r="D88" s="3" t="s">
        <v>484</v>
      </c>
      <c r="E88" s="4">
        <f t="shared" si="1"/>
        <v>46</v>
      </c>
      <c r="F88" s="4">
        <f t="shared" si="2"/>
        <v>200</v>
      </c>
      <c r="G88" s="4">
        <f t="shared" si="3"/>
        <v>0.23</v>
      </c>
      <c r="H88" s="4" t="s">
        <v>18</v>
      </c>
    </row>
    <row r="89" ht="15.75" customHeight="1">
      <c r="A89" s="3" t="s">
        <v>460</v>
      </c>
      <c r="B89" s="4" t="s">
        <v>79</v>
      </c>
      <c r="C89" s="4" t="s">
        <v>10</v>
      </c>
      <c r="D89" s="3" t="s">
        <v>80</v>
      </c>
      <c r="E89" s="4">
        <f t="shared" si="1"/>
        <v>107</v>
      </c>
      <c r="F89" s="4">
        <f t="shared" si="2"/>
        <v>200</v>
      </c>
      <c r="G89" s="4">
        <f t="shared" si="3"/>
        <v>0.535</v>
      </c>
      <c r="H89" s="3" t="s">
        <v>18</v>
      </c>
    </row>
    <row r="90" ht="15.75" customHeight="1">
      <c r="A90" s="3" t="s">
        <v>460</v>
      </c>
      <c r="B90" s="4" t="s">
        <v>79</v>
      </c>
      <c r="C90" s="4" t="s">
        <v>13</v>
      </c>
      <c r="D90" s="3" t="s">
        <v>485</v>
      </c>
      <c r="E90" s="4">
        <f t="shared" si="1"/>
        <v>56</v>
      </c>
      <c r="F90" s="4">
        <f t="shared" si="2"/>
        <v>200</v>
      </c>
      <c r="G90" s="4">
        <f t="shared" si="3"/>
        <v>0.28</v>
      </c>
      <c r="H90" s="4" t="s">
        <v>12</v>
      </c>
    </row>
    <row r="91" ht="15.75" customHeight="1">
      <c r="A91" s="3" t="s">
        <v>460</v>
      </c>
      <c r="B91" s="4" t="s">
        <v>79</v>
      </c>
      <c r="C91" s="4" t="s">
        <v>16</v>
      </c>
      <c r="D91" s="3" t="s">
        <v>486</v>
      </c>
      <c r="E91" s="4">
        <f t="shared" si="1"/>
        <v>92</v>
      </c>
      <c r="F91" s="4">
        <f t="shared" si="2"/>
        <v>200</v>
      </c>
      <c r="G91" s="4">
        <f t="shared" si="3"/>
        <v>0.46</v>
      </c>
      <c r="H91" s="4" t="s">
        <v>18</v>
      </c>
    </row>
    <row r="92" ht="15.75" customHeight="1">
      <c r="A92" s="3" t="s">
        <v>460</v>
      </c>
      <c r="B92" s="4" t="s">
        <v>83</v>
      </c>
      <c r="C92" s="4" t="s">
        <v>10</v>
      </c>
      <c r="D92" s="3" t="s">
        <v>84</v>
      </c>
      <c r="E92" s="4">
        <f t="shared" si="1"/>
        <v>156</v>
      </c>
      <c r="F92" s="4">
        <f t="shared" si="2"/>
        <v>200</v>
      </c>
      <c r="G92" s="4">
        <f t="shared" si="3"/>
        <v>0.78</v>
      </c>
      <c r="H92" s="3" t="s">
        <v>12</v>
      </c>
    </row>
    <row r="93" ht="15.75" customHeight="1">
      <c r="A93" s="3" t="s">
        <v>460</v>
      </c>
      <c r="B93" s="4" t="s">
        <v>83</v>
      </c>
      <c r="C93" s="4" t="s">
        <v>13</v>
      </c>
      <c r="D93" s="3" t="s">
        <v>487</v>
      </c>
      <c r="E93" s="4">
        <f t="shared" si="1"/>
        <v>146</v>
      </c>
      <c r="F93" s="4">
        <f t="shared" si="2"/>
        <v>200</v>
      </c>
      <c r="G93" s="4">
        <f t="shared" si="3"/>
        <v>0.73</v>
      </c>
      <c r="H93" s="4" t="s">
        <v>12</v>
      </c>
    </row>
    <row r="94" ht="15.75" customHeight="1">
      <c r="A94" s="3" t="s">
        <v>460</v>
      </c>
      <c r="B94" s="4" t="s">
        <v>83</v>
      </c>
      <c r="C94" s="4" t="s">
        <v>16</v>
      </c>
      <c r="D94" s="3" t="s">
        <v>488</v>
      </c>
      <c r="E94" s="4">
        <f t="shared" si="1"/>
        <v>182</v>
      </c>
      <c r="F94" s="4">
        <f t="shared" si="2"/>
        <v>200</v>
      </c>
      <c r="G94" s="4">
        <f t="shared" si="3"/>
        <v>0.91</v>
      </c>
      <c r="H94" s="4" t="s">
        <v>18</v>
      </c>
    </row>
    <row r="95" ht="15.75" customHeight="1">
      <c r="A95" s="3" t="s">
        <v>460</v>
      </c>
      <c r="B95" s="4" t="s">
        <v>87</v>
      </c>
      <c r="C95" s="4" t="s">
        <v>10</v>
      </c>
      <c r="D95" s="3" t="s">
        <v>88</v>
      </c>
      <c r="E95" s="4">
        <f t="shared" si="1"/>
        <v>137</v>
      </c>
      <c r="F95" s="4">
        <f t="shared" si="2"/>
        <v>200</v>
      </c>
      <c r="G95" s="4">
        <f t="shared" si="3"/>
        <v>0.685</v>
      </c>
      <c r="H95" s="3" t="s">
        <v>18</v>
      </c>
    </row>
    <row r="96" ht="15.75" customHeight="1">
      <c r="A96" s="3" t="s">
        <v>460</v>
      </c>
      <c r="B96" s="4" t="s">
        <v>87</v>
      </c>
      <c r="C96" s="4" t="s">
        <v>13</v>
      </c>
      <c r="D96" s="3" t="s">
        <v>489</v>
      </c>
      <c r="E96" s="4">
        <f t="shared" si="1"/>
        <v>111</v>
      </c>
      <c r="F96" s="4">
        <f t="shared" si="2"/>
        <v>200</v>
      </c>
      <c r="G96" s="4">
        <f t="shared" si="3"/>
        <v>0.555</v>
      </c>
      <c r="H96" s="3" t="s">
        <v>18</v>
      </c>
    </row>
    <row r="97" ht="15.75" customHeight="1">
      <c r="A97" s="3" t="s">
        <v>460</v>
      </c>
      <c r="B97" s="4" t="s">
        <v>87</v>
      </c>
      <c r="C97" s="4" t="s">
        <v>16</v>
      </c>
      <c r="D97" s="3" t="s">
        <v>490</v>
      </c>
      <c r="E97" s="4">
        <f t="shared" si="1"/>
        <v>130</v>
      </c>
      <c r="F97" s="4">
        <f t="shared" si="2"/>
        <v>200</v>
      </c>
      <c r="G97" s="4">
        <f t="shared" si="3"/>
        <v>0.65</v>
      </c>
      <c r="H97" s="4" t="s">
        <v>18</v>
      </c>
    </row>
    <row r="98" ht="15.75" customHeight="1">
      <c r="A98" s="3" t="s">
        <v>460</v>
      </c>
      <c r="B98" s="4" t="s">
        <v>23</v>
      </c>
      <c r="C98" s="4" t="s">
        <v>10</v>
      </c>
      <c r="D98" s="3" t="s">
        <v>91</v>
      </c>
      <c r="E98" s="4">
        <f t="shared" si="1"/>
        <v>75</v>
      </c>
      <c r="F98" s="4">
        <f t="shared" si="2"/>
        <v>200</v>
      </c>
      <c r="G98" s="4">
        <f t="shared" si="3"/>
        <v>0.375</v>
      </c>
      <c r="H98" s="3" t="s">
        <v>12</v>
      </c>
    </row>
    <row r="99" ht="15.75" customHeight="1">
      <c r="A99" s="3" t="s">
        <v>460</v>
      </c>
      <c r="B99" s="4" t="s">
        <v>23</v>
      </c>
      <c r="C99" s="4" t="s">
        <v>13</v>
      </c>
      <c r="D99" s="3" t="s">
        <v>491</v>
      </c>
      <c r="E99" s="4">
        <f t="shared" si="1"/>
        <v>74</v>
      </c>
      <c r="F99" s="4">
        <f t="shared" si="2"/>
        <v>200</v>
      </c>
      <c r="G99" s="4">
        <f t="shared" si="3"/>
        <v>0.37</v>
      </c>
      <c r="H99" s="4" t="s">
        <v>12</v>
      </c>
    </row>
    <row r="100" ht="15.75" customHeight="1">
      <c r="A100" s="3" t="s">
        <v>460</v>
      </c>
      <c r="B100" s="4" t="s">
        <v>23</v>
      </c>
      <c r="C100" s="4" t="s">
        <v>16</v>
      </c>
      <c r="D100" s="3" t="s">
        <v>492</v>
      </c>
      <c r="E100" s="4">
        <f t="shared" si="1"/>
        <v>122</v>
      </c>
      <c r="F100" s="4">
        <f t="shared" si="2"/>
        <v>200</v>
      </c>
      <c r="G100" s="4">
        <f t="shared" si="3"/>
        <v>0.61</v>
      </c>
      <c r="H100" s="4" t="s">
        <v>18</v>
      </c>
    </row>
    <row r="101" ht="15.75" customHeight="1">
      <c r="A101" s="3" t="s">
        <v>460</v>
      </c>
      <c r="B101" s="4" t="s">
        <v>94</v>
      </c>
      <c r="C101" s="4" t="s">
        <v>10</v>
      </c>
      <c r="D101" s="3" t="s">
        <v>95</v>
      </c>
      <c r="E101" s="4">
        <f t="shared" si="1"/>
        <v>1844</v>
      </c>
      <c r="F101" s="4">
        <f t="shared" si="2"/>
        <v>3197</v>
      </c>
      <c r="G101" s="4">
        <f t="shared" si="3"/>
        <v>0.5767907413</v>
      </c>
      <c r="H101" s="4" t="s">
        <v>12</v>
      </c>
    </row>
    <row r="102" ht="15.75" customHeight="1">
      <c r="A102" s="3" t="s">
        <v>460</v>
      </c>
      <c r="B102" s="4" t="s">
        <v>94</v>
      </c>
      <c r="C102" s="4" t="s">
        <v>13</v>
      </c>
      <c r="D102" s="3" t="s">
        <v>493</v>
      </c>
      <c r="E102" s="4">
        <f t="shared" si="1"/>
        <v>1665</v>
      </c>
      <c r="F102" s="4">
        <f t="shared" si="2"/>
        <v>3197</v>
      </c>
      <c r="G102" s="4">
        <f t="shared" si="3"/>
        <v>0.5208007507</v>
      </c>
      <c r="H102" s="3" t="s">
        <v>15</v>
      </c>
    </row>
    <row r="103" ht="15.75" customHeight="1">
      <c r="A103" s="3" t="s">
        <v>460</v>
      </c>
      <c r="B103" s="4" t="s">
        <v>94</v>
      </c>
      <c r="C103" s="4" t="s">
        <v>16</v>
      </c>
      <c r="D103" s="3" t="s">
        <v>494</v>
      </c>
      <c r="E103" s="4">
        <f t="shared" si="1"/>
        <v>2098</v>
      </c>
      <c r="F103" s="4">
        <f t="shared" si="2"/>
        <v>3196</v>
      </c>
      <c r="G103" s="4">
        <f t="shared" si="3"/>
        <v>0.6564455569</v>
      </c>
      <c r="H103" s="4" t="s">
        <v>18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43.71"/>
    <col customWidth="1" min="3" max="3" width="19.57"/>
    <col customWidth="1" min="4" max="5" width="19.0"/>
    <col customWidth="1" min="6" max="6" width="19.14"/>
    <col customWidth="1" min="7" max="7" width="19.29"/>
    <col customWidth="1" min="8" max="8" width="14.0"/>
    <col customWidth="1" min="9" max="27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495</v>
      </c>
      <c r="B2" s="3" t="s">
        <v>32</v>
      </c>
      <c r="C2" s="4" t="s">
        <v>10</v>
      </c>
      <c r="D2" s="3" t="s">
        <v>33</v>
      </c>
      <c r="E2" s="4">
        <f t="shared" ref="E2:E137" si="1">(LEN(D2)-LEN(SUBSTITUTE(D2,"True","")))/4</f>
        <v>149</v>
      </c>
      <c r="F2" s="4">
        <f t="shared" ref="F2:F137" si="2">LEN(D2)-LEN(SUBSTITUTE(D2,",",""))+1</f>
        <v>200</v>
      </c>
      <c r="G2" s="4">
        <f t="shared" ref="G2:G137" si="3"> E2 / F2</f>
        <v>0.745</v>
      </c>
      <c r="H2" s="3" t="s">
        <v>18</v>
      </c>
    </row>
    <row r="3">
      <c r="A3" s="3" t="s">
        <v>495</v>
      </c>
      <c r="B3" s="3" t="s">
        <v>32</v>
      </c>
      <c r="C3" s="4" t="s">
        <v>13</v>
      </c>
      <c r="D3" s="3" t="s">
        <v>34</v>
      </c>
      <c r="E3" s="4">
        <f t="shared" si="1"/>
        <v>151</v>
      </c>
      <c r="F3" s="4">
        <f t="shared" si="2"/>
        <v>200</v>
      </c>
      <c r="G3" s="4">
        <f t="shared" si="3"/>
        <v>0.755</v>
      </c>
      <c r="H3" s="3" t="s">
        <v>18</v>
      </c>
    </row>
    <row r="4">
      <c r="A4" s="3" t="s">
        <v>495</v>
      </c>
      <c r="B4" s="3" t="s">
        <v>32</v>
      </c>
      <c r="C4" s="3" t="s">
        <v>496</v>
      </c>
      <c r="D4" s="3" t="s">
        <v>497</v>
      </c>
      <c r="E4" s="4">
        <f t="shared" si="1"/>
        <v>144</v>
      </c>
      <c r="F4" s="4">
        <f t="shared" si="2"/>
        <v>200</v>
      </c>
      <c r="G4" s="4">
        <f t="shared" si="3"/>
        <v>0.72</v>
      </c>
      <c r="H4" s="3" t="s">
        <v>18</v>
      </c>
    </row>
    <row r="5">
      <c r="A5" s="3" t="s">
        <v>495</v>
      </c>
      <c r="B5" s="3" t="s">
        <v>32</v>
      </c>
      <c r="C5" s="4" t="s">
        <v>16</v>
      </c>
      <c r="D5" s="3" t="s">
        <v>35</v>
      </c>
      <c r="E5" s="4">
        <f t="shared" si="1"/>
        <v>158</v>
      </c>
      <c r="F5" s="4">
        <f t="shared" si="2"/>
        <v>200</v>
      </c>
      <c r="G5" s="4">
        <f t="shared" si="3"/>
        <v>0.79</v>
      </c>
      <c r="H5" s="3" t="s">
        <v>18</v>
      </c>
    </row>
    <row r="6">
      <c r="A6" s="3" t="s">
        <v>495</v>
      </c>
      <c r="B6" s="3" t="s">
        <v>36</v>
      </c>
      <c r="C6" s="4" t="s">
        <v>10</v>
      </c>
      <c r="D6" s="3" t="s">
        <v>37</v>
      </c>
      <c r="E6" s="4">
        <f t="shared" si="1"/>
        <v>123</v>
      </c>
      <c r="F6" s="4">
        <f t="shared" si="2"/>
        <v>200</v>
      </c>
      <c r="G6" s="4">
        <f t="shared" si="3"/>
        <v>0.615</v>
      </c>
      <c r="H6" s="3" t="s">
        <v>12</v>
      </c>
    </row>
    <row r="7">
      <c r="A7" s="3" t="s">
        <v>495</v>
      </c>
      <c r="B7" s="3" t="s">
        <v>36</v>
      </c>
      <c r="C7" s="4" t="s">
        <v>13</v>
      </c>
      <c r="D7" s="13" t="s">
        <v>38</v>
      </c>
      <c r="E7" s="4">
        <f t="shared" si="1"/>
        <v>172</v>
      </c>
      <c r="F7" s="4">
        <f t="shared" si="2"/>
        <v>200</v>
      </c>
      <c r="G7" s="4">
        <f t="shared" si="3"/>
        <v>0.86</v>
      </c>
      <c r="H7" s="3" t="s">
        <v>18</v>
      </c>
    </row>
    <row r="8">
      <c r="A8" s="3" t="s">
        <v>495</v>
      </c>
      <c r="B8" s="3" t="s">
        <v>36</v>
      </c>
      <c r="C8" s="3" t="s">
        <v>496</v>
      </c>
      <c r="D8" s="3" t="s">
        <v>498</v>
      </c>
      <c r="E8" s="4">
        <f t="shared" si="1"/>
        <v>174</v>
      </c>
      <c r="F8" s="4">
        <f t="shared" si="2"/>
        <v>200</v>
      </c>
      <c r="G8" s="4">
        <f t="shared" si="3"/>
        <v>0.87</v>
      </c>
      <c r="H8" s="3" t="s">
        <v>18</v>
      </c>
    </row>
    <row r="9">
      <c r="A9" s="3" t="s">
        <v>495</v>
      </c>
      <c r="B9" s="3" t="s">
        <v>36</v>
      </c>
      <c r="C9" s="4" t="s">
        <v>16</v>
      </c>
      <c r="D9" s="3" t="s">
        <v>39</v>
      </c>
      <c r="E9" s="4">
        <f t="shared" si="1"/>
        <v>173</v>
      </c>
      <c r="F9" s="4">
        <f t="shared" si="2"/>
        <v>200</v>
      </c>
      <c r="G9" s="4">
        <f t="shared" si="3"/>
        <v>0.865</v>
      </c>
      <c r="H9" s="3" t="s">
        <v>18</v>
      </c>
    </row>
    <row r="10">
      <c r="A10" s="3" t="s">
        <v>495</v>
      </c>
      <c r="B10" s="3" t="s">
        <v>40</v>
      </c>
      <c r="C10" s="4" t="s">
        <v>10</v>
      </c>
      <c r="D10" s="3" t="s">
        <v>41</v>
      </c>
      <c r="E10" s="4">
        <f t="shared" si="1"/>
        <v>166</v>
      </c>
      <c r="F10" s="4">
        <f t="shared" si="2"/>
        <v>199</v>
      </c>
      <c r="G10" s="4">
        <f t="shared" si="3"/>
        <v>0.8341708543</v>
      </c>
      <c r="H10" s="3" t="s">
        <v>18</v>
      </c>
    </row>
    <row r="11" ht="15.75" customHeight="1">
      <c r="A11" s="3" t="s">
        <v>495</v>
      </c>
      <c r="B11" s="3" t="s">
        <v>40</v>
      </c>
      <c r="C11" s="4" t="s">
        <v>13</v>
      </c>
      <c r="D11" s="3" t="s">
        <v>42</v>
      </c>
      <c r="E11" s="4">
        <f t="shared" si="1"/>
        <v>166</v>
      </c>
      <c r="F11" s="4">
        <f t="shared" si="2"/>
        <v>200</v>
      </c>
      <c r="G11" s="4">
        <f t="shared" si="3"/>
        <v>0.83</v>
      </c>
      <c r="H11" s="3" t="s">
        <v>18</v>
      </c>
    </row>
    <row r="12" ht="15.75" customHeight="1">
      <c r="A12" s="3" t="s">
        <v>495</v>
      </c>
      <c r="B12" s="3" t="s">
        <v>40</v>
      </c>
      <c r="C12" s="3" t="s">
        <v>496</v>
      </c>
      <c r="D12" s="3" t="s">
        <v>499</v>
      </c>
      <c r="E12" s="4">
        <f t="shared" si="1"/>
        <v>170</v>
      </c>
      <c r="F12" s="4">
        <f t="shared" si="2"/>
        <v>200</v>
      </c>
      <c r="G12" s="4">
        <f t="shared" si="3"/>
        <v>0.85</v>
      </c>
      <c r="H12" s="3" t="s">
        <v>18</v>
      </c>
    </row>
    <row r="13" ht="15.75" customHeight="1">
      <c r="A13" s="3" t="s">
        <v>495</v>
      </c>
      <c r="B13" s="3" t="s">
        <v>40</v>
      </c>
      <c r="C13" s="4" t="s">
        <v>16</v>
      </c>
      <c r="D13" s="3" t="s">
        <v>43</v>
      </c>
      <c r="E13" s="4">
        <f t="shared" si="1"/>
        <v>167</v>
      </c>
      <c r="F13" s="4">
        <f t="shared" si="2"/>
        <v>185</v>
      </c>
      <c r="G13" s="4">
        <f t="shared" si="3"/>
        <v>0.9027027027</v>
      </c>
      <c r="H13" s="3" t="s">
        <v>18</v>
      </c>
    </row>
    <row r="14" ht="15.75" customHeight="1">
      <c r="A14" s="3" t="s">
        <v>495</v>
      </c>
      <c r="B14" s="3" t="s">
        <v>44</v>
      </c>
      <c r="C14" s="4" t="s">
        <v>10</v>
      </c>
      <c r="D14" s="3" t="s">
        <v>45</v>
      </c>
      <c r="E14" s="4">
        <f t="shared" si="1"/>
        <v>131</v>
      </c>
      <c r="F14" s="4">
        <f t="shared" si="2"/>
        <v>200</v>
      </c>
      <c r="G14" s="4">
        <f t="shared" si="3"/>
        <v>0.655</v>
      </c>
      <c r="H14" s="3" t="s">
        <v>12</v>
      </c>
    </row>
    <row r="15" ht="15.75" customHeight="1">
      <c r="A15" s="3" t="s">
        <v>495</v>
      </c>
      <c r="B15" s="3" t="s">
        <v>44</v>
      </c>
      <c r="C15" s="4" t="s">
        <v>13</v>
      </c>
      <c r="D15" s="3" t="s">
        <v>46</v>
      </c>
      <c r="E15" s="4">
        <f t="shared" si="1"/>
        <v>163</v>
      </c>
      <c r="F15" s="4">
        <f t="shared" si="2"/>
        <v>199</v>
      </c>
      <c r="G15" s="4">
        <f t="shared" si="3"/>
        <v>0.8190954774</v>
      </c>
      <c r="H15" s="3" t="s">
        <v>18</v>
      </c>
    </row>
    <row r="16" ht="15.75" customHeight="1">
      <c r="A16" s="3" t="s">
        <v>495</v>
      </c>
      <c r="B16" s="3" t="s">
        <v>44</v>
      </c>
      <c r="C16" s="3" t="s">
        <v>496</v>
      </c>
      <c r="D16" s="3" t="s">
        <v>500</v>
      </c>
      <c r="E16" s="4">
        <f t="shared" si="1"/>
        <v>165</v>
      </c>
      <c r="F16" s="4">
        <f t="shared" si="2"/>
        <v>198</v>
      </c>
      <c r="G16" s="4">
        <f t="shared" si="3"/>
        <v>0.8333333333</v>
      </c>
      <c r="H16" s="3" t="s">
        <v>18</v>
      </c>
    </row>
    <row r="17" ht="15.75" customHeight="1">
      <c r="A17" s="3" t="s">
        <v>495</v>
      </c>
      <c r="B17" s="3" t="s">
        <v>44</v>
      </c>
      <c r="C17" s="4" t="s">
        <v>16</v>
      </c>
      <c r="D17" s="3" t="s">
        <v>47</v>
      </c>
      <c r="E17" s="4">
        <f t="shared" si="1"/>
        <v>174</v>
      </c>
      <c r="F17" s="4">
        <f t="shared" si="2"/>
        <v>200</v>
      </c>
      <c r="G17" s="4">
        <f t="shared" si="3"/>
        <v>0.87</v>
      </c>
      <c r="H17" s="3" t="s">
        <v>18</v>
      </c>
    </row>
    <row r="18" ht="15.75" customHeight="1">
      <c r="A18" s="3" t="s">
        <v>495</v>
      </c>
      <c r="B18" s="4" t="s">
        <v>48</v>
      </c>
      <c r="C18" s="4" t="s">
        <v>10</v>
      </c>
      <c r="D18" s="3" t="s">
        <v>49</v>
      </c>
      <c r="E18" s="4">
        <f t="shared" si="1"/>
        <v>109</v>
      </c>
      <c r="F18" s="4">
        <f t="shared" si="2"/>
        <v>200</v>
      </c>
      <c r="G18" s="4">
        <f t="shared" si="3"/>
        <v>0.545</v>
      </c>
      <c r="H18" s="3" t="s">
        <v>12</v>
      </c>
    </row>
    <row r="19" ht="15.75" customHeight="1">
      <c r="A19" s="3" t="s">
        <v>495</v>
      </c>
      <c r="B19" s="4" t="s">
        <v>48</v>
      </c>
      <c r="C19" s="4" t="s">
        <v>13</v>
      </c>
      <c r="D19" s="3" t="s">
        <v>50</v>
      </c>
      <c r="E19" s="4">
        <f t="shared" si="1"/>
        <v>164</v>
      </c>
      <c r="F19" s="4">
        <f t="shared" si="2"/>
        <v>200</v>
      </c>
      <c r="G19" s="4">
        <f t="shared" si="3"/>
        <v>0.82</v>
      </c>
      <c r="H19" s="3" t="s">
        <v>18</v>
      </c>
    </row>
    <row r="20" ht="15.75" customHeight="1">
      <c r="A20" s="3" t="s">
        <v>495</v>
      </c>
      <c r="B20" s="4" t="s">
        <v>48</v>
      </c>
      <c r="C20" s="3" t="s">
        <v>496</v>
      </c>
      <c r="D20" s="3" t="s">
        <v>501</v>
      </c>
      <c r="E20" s="4">
        <f t="shared" si="1"/>
        <v>163</v>
      </c>
      <c r="F20" s="4">
        <f t="shared" si="2"/>
        <v>200</v>
      </c>
      <c r="G20" s="4">
        <f t="shared" si="3"/>
        <v>0.815</v>
      </c>
      <c r="H20" s="3" t="s">
        <v>18</v>
      </c>
    </row>
    <row r="21" ht="15.75" customHeight="1">
      <c r="A21" s="3" t="s">
        <v>495</v>
      </c>
      <c r="B21" s="4" t="s">
        <v>48</v>
      </c>
      <c r="C21" s="4" t="s">
        <v>16</v>
      </c>
      <c r="D21" s="3" t="s">
        <v>51</v>
      </c>
      <c r="E21" s="4">
        <f t="shared" si="1"/>
        <v>170</v>
      </c>
      <c r="F21" s="4">
        <f t="shared" si="2"/>
        <v>200</v>
      </c>
      <c r="G21" s="4">
        <f t="shared" si="3"/>
        <v>0.85</v>
      </c>
      <c r="H21" s="3" t="s">
        <v>18</v>
      </c>
    </row>
    <row r="22" ht="15.75" customHeight="1">
      <c r="A22" s="3" t="s">
        <v>495</v>
      </c>
      <c r="B22" s="4" t="s">
        <v>52</v>
      </c>
      <c r="C22" s="4" t="s">
        <v>10</v>
      </c>
      <c r="D22" s="3" t="s">
        <v>502</v>
      </c>
      <c r="E22" s="4">
        <f t="shared" si="1"/>
        <v>189</v>
      </c>
      <c r="F22" s="4">
        <f t="shared" si="2"/>
        <v>200</v>
      </c>
      <c r="G22" s="4">
        <f t="shared" si="3"/>
        <v>0.945</v>
      </c>
      <c r="H22" s="3" t="s">
        <v>18</v>
      </c>
    </row>
    <row r="23" ht="15.75" customHeight="1">
      <c r="A23" s="3" t="s">
        <v>495</v>
      </c>
      <c r="B23" s="4" t="s">
        <v>52</v>
      </c>
      <c r="C23" s="4" t="s">
        <v>13</v>
      </c>
      <c r="D23" s="3" t="s">
        <v>54</v>
      </c>
      <c r="E23" s="4">
        <f t="shared" si="1"/>
        <v>175</v>
      </c>
      <c r="F23" s="4">
        <f t="shared" si="2"/>
        <v>199</v>
      </c>
      <c r="G23" s="4">
        <f t="shared" si="3"/>
        <v>0.8793969849</v>
      </c>
      <c r="H23" s="3" t="s">
        <v>18</v>
      </c>
    </row>
    <row r="24" ht="15.75" customHeight="1">
      <c r="A24" s="3" t="s">
        <v>495</v>
      </c>
      <c r="B24" s="4" t="s">
        <v>52</v>
      </c>
      <c r="C24" s="3" t="s">
        <v>496</v>
      </c>
      <c r="D24" s="3" t="s">
        <v>503</v>
      </c>
      <c r="E24" s="4">
        <f t="shared" si="1"/>
        <v>184</v>
      </c>
      <c r="F24" s="4">
        <f t="shared" si="2"/>
        <v>200</v>
      </c>
      <c r="G24" s="4">
        <f t="shared" si="3"/>
        <v>0.92</v>
      </c>
      <c r="H24" s="3" t="s">
        <v>18</v>
      </c>
    </row>
    <row r="25" ht="15.75" customHeight="1">
      <c r="A25" s="3" t="s">
        <v>495</v>
      </c>
      <c r="B25" s="4" t="s">
        <v>52</v>
      </c>
      <c r="C25" s="4" t="s">
        <v>16</v>
      </c>
      <c r="D25" s="3" t="s">
        <v>55</v>
      </c>
      <c r="E25" s="4">
        <f t="shared" si="1"/>
        <v>187</v>
      </c>
      <c r="F25" s="4">
        <f t="shared" si="2"/>
        <v>200</v>
      </c>
      <c r="G25" s="4">
        <f t="shared" si="3"/>
        <v>0.935</v>
      </c>
      <c r="H25" s="3" t="s">
        <v>18</v>
      </c>
    </row>
    <row r="26" ht="15.75" customHeight="1">
      <c r="A26" s="3" t="s">
        <v>495</v>
      </c>
      <c r="B26" s="4" t="s">
        <v>56</v>
      </c>
      <c r="C26" s="4" t="s">
        <v>10</v>
      </c>
      <c r="D26" s="3" t="s">
        <v>57</v>
      </c>
      <c r="E26" s="4">
        <f t="shared" si="1"/>
        <v>159</v>
      </c>
      <c r="F26" s="4">
        <f t="shared" si="2"/>
        <v>199</v>
      </c>
      <c r="G26" s="4">
        <f t="shared" si="3"/>
        <v>0.7989949749</v>
      </c>
      <c r="H26" s="3" t="s">
        <v>58</v>
      </c>
    </row>
    <row r="27" ht="15.75" customHeight="1">
      <c r="A27" s="3" t="s">
        <v>495</v>
      </c>
      <c r="B27" s="4" t="s">
        <v>56</v>
      </c>
      <c r="C27" s="4" t="s">
        <v>13</v>
      </c>
      <c r="D27" s="3" t="s">
        <v>59</v>
      </c>
      <c r="E27" s="4">
        <f t="shared" si="1"/>
        <v>151</v>
      </c>
      <c r="F27" s="4">
        <f t="shared" si="2"/>
        <v>200</v>
      </c>
      <c r="G27" s="4">
        <f t="shared" si="3"/>
        <v>0.755</v>
      </c>
      <c r="H27" s="3" t="s">
        <v>12</v>
      </c>
    </row>
    <row r="28" ht="15.75" customHeight="1">
      <c r="A28" s="3" t="s">
        <v>495</v>
      </c>
      <c r="B28" s="4" t="s">
        <v>56</v>
      </c>
      <c r="C28" s="3" t="s">
        <v>496</v>
      </c>
      <c r="D28" s="3" t="s">
        <v>504</v>
      </c>
      <c r="E28" s="4">
        <f t="shared" si="1"/>
        <v>161</v>
      </c>
      <c r="F28" s="4">
        <f t="shared" si="2"/>
        <v>199</v>
      </c>
      <c r="G28" s="4">
        <f t="shared" si="3"/>
        <v>0.8090452261</v>
      </c>
      <c r="H28" s="3" t="s">
        <v>58</v>
      </c>
    </row>
    <row r="29" ht="15.75" customHeight="1">
      <c r="A29" s="3" t="s">
        <v>495</v>
      </c>
      <c r="B29" s="4" t="s">
        <v>56</v>
      </c>
      <c r="C29" s="4" t="s">
        <v>16</v>
      </c>
      <c r="D29" s="3" t="s">
        <v>60</v>
      </c>
      <c r="E29" s="4">
        <f t="shared" si="1"/>
        <v>178</v>
      </c>
      <c r="F29" s="4">
        <f t="shared" si="2"/>
        <v>200</v>
      </c>
      <c r="G29" s="4">
        <f t="shared" si="3"/>
        <v>0.89</v>
      </c>
      <c r="H29" s="3" t="s">
        <v>18</v>
      </c>
    </row>
    <row r="30" ht="15.75" customHeight="1">
      <c r="A30" s="3" t="s">
        <v>495</v>
      </c>
      <c r="B30" s="4" t="s">
        <v>61</v>
      </c>
      <c r="C30" s="4" t="s">
        <v>10</v>
      </c>
      <c r="D30" s="3" t="s">
        <v>62</v>
      </c>
      <c r="E30" s="4">
        <f t="shared" si="1"/>
        <v>100</v>
      </c>
      <c r="F30" s="4">
        <f t="shared" si="2"/>
        <v>200</v>
      </c>
      <c r="G30" s="4">
        <f t="shared" si="3"/>
        <v>0.5</v>
      </c>
      <c r="H30" s="3" t="s">
        <v>18</v>
      </c>
    </row>
    <row r="31" ht="15.75" customHeight="1">
      <c r="A31" s="3" t="s">
        <v>495</v>
      </c>
      <c r="B31" s="4" t="s">
        <v>61</v>
      </c>
      <c r="C31" s="4" t="s">
        <v>13</v>
      </c>
      <c r="D31" s="3" t="s">
        <v>63</v>
      </c>
      <c r="E31" s="4">
        <f t="shared" si="1"/>
        <v>104</v>
      </c>
      <c r="F31" s="4">
        <f t="shared" si="2"/>
        <v>200</v>
      </c>
      <c r="G31" s="4">
        <f t="shared" si="3"/>
        <v>0.52</v>
      </c>
      <c r="H31" s="3" t="s">
        <v>18</v>
      </c>
    </row>
    <row r="32" ht="15.75" customHeight="1">
      <c r="A32" s="3" t="s">
        <v>495</v>
      </c>
      <c r="B32" s="4" t="s">
        <v>61</v>
      </c>
      <c r="C32" s="3" t="s">
        <v>496</v>
      </c>
      <c r="D32" s="3" t="s">
        <v>505</v>
      </c>
      <c r="E32" s="4">
        <f t="shared" si="1"/>
        <v>93</v>
      </c>
      <c r="F32" s="4">
        <f t="shared" si="2"/>
        <v>200</v>
      </c>
      <c r="G32" s="4">
        <f t="shared" si="3"/>
        <v>0.465</v>
      </c>
      <c r="H32" s="3" t="s">
        <v>18</v>
      </c>
    </row>
    <row r="33" ht="15.75" customHeight="1">
      <c r="A33" s="3" t="s">
        <v>495</v>
      </c>
      <c r="B33" s="4" t="s">
        <v>61</v>
      </c>
      <c r="C33" s="4" t="s">
        <v>16</v>
      </c>
      <c r="D33" s="3" t="s">
        <v>64</v>
      </c>
      <c r="E33" s="4">
        <f t="shared" si="1"/>
        <v>108</v>
      </c>
      <c r="F33" s="4">
        <f t="shared" si="2"/>
        <v>200</v>
      </c>
      <c r="G33" s="4">
        <f t="shared" si="3"/>
        <v>0.54</v>
      </c>
      <c r="H33" s="3" t="s">
        <v>18</v>
      </c>
    </row>
    <row r="34" ht="15.75" customHeight="1">
      <c r="A34" s="3" t="s">
        <v>495</v>
      </c>
      <c r="B34" s="4" t="s">
        <v>65</v>
      </c>
      <c r="C34" s="4" t="s">
        <v>10</v>
      </c>
      <c r="D34" s="3" t="s">
        <v>66</v>
      </c>
      <c r="E34" s="4">
        <f t="shared" si="1"/>
        <v>145</v>
      </c>
      <c r="F34" s="4">
        <f t="shared" si="2"/>
        <v>200</v>
      </c>
      <c r="G34" s="4">
        <f t="shared" si="3"/>
        <v>0.725</v>
      </c>
      <c r="H34" s="3" t="s">
        <v>18</v>
      </c>
    </row>
    <row r="35" ht="15.75" customHeight="1">
      <c r="A35" s="3" t="s">
        <v>495</v>
      </c>
      <c r="B35" s="4" t="s">
        <v>65</v>
      </c>
      <c r="C35" s="4" t="s">
        <v>13</v>
      </c>
      <c r="D35" s="3" t="s">
        <v>67</v>
      </c>
      <c r="E35" s="4">
        <f t="shared" si="1"/>
        <v>115</v>
      </c>
      <c r="F35" s="4">
        <f t="shared" si="2"/>
        <v>200</v>
      </c>
      <c r="G35" s="4">
        <f t="shared" si="3"/>
        <v>0.575</v>
      </c>
      <c r="H35" s="3" t="s">
        <v>12</v>
      </c>
    </row>
    <row r="36" ht="15.75" customHeight="1">
      <c r="A36" s="3" t="s">
        <v>495</v>
      </c>
      <c r="B36" s="4" t="s">
        <v>65</v>
      </c>
      <c r="C36" s="3" t="s">
        <v>496</v>
      </c>
      <c r="D36" s="3" t="s">
        <v>506</v>
      </c>
      <c r="E36" s="4">
        <f t="shared" si="1"/>
        <v>120</v>
      </c>
      <c r="F36" s="4">
        <f t="shared" si="2"/>
        <v>198</v>
      </c>
      <c r="G36" s="4">
        <f t="shared" si="3"/>
        <v>0.6060606061</v>
      </c>
      <c r="H36" s="3" t="s">
        <v>58</v>
      </c>
    </row>
    <row r="37" ht="15.75" customHeight="1">
      <c r="A37" s="3" t="s">
        <v>495</v>
      </c>
      <c r="B37" s="4" t="s">
        <v>65</v>
      </c>
      <c r="C37" s="4" t="s">
        <v>16</v>
      </c>
      <c r="D37" s="3" t="s">
        <v>68</v>
      </c>
      <c r="E37" s="4">
        <f t="shared" si="1"/>
        <v>140</v>
      </c>
      <c r="F37" s="4">
        <f t="shared" si="2"/>
        <v>200</v>
      </c>
      <c r="G37" s="4">
        <f t="shared" si="3"/>
        <v>0.7</v>
      </c>
      <c r="H37" s="3" t="s">
        <v>18</v>
      </c>
    </row>
    <row r="38" ht="15.75" customHeight="1">
      <c r="A38" s="3" t="s">
        <v>495</v>
      </c>
      <c r="B38" s="4" t="s">
        <v>19</v>
      </c>
      <c r="C38" s="4" t="s">
        <v>10</v>
      </c>
      <c r="D38" s="3" t="s">
        <v>69</v>
      </c>
      <c r="E38" s="4">
        <f t="shared" si="1"/>
        <v>32</v>
      </c>
      <c r="F38" s="4">
        <f t="shared" si="2"/>
        <v>199</v>
      </c>
      <c r="G38" s="4">
        <f t="shared" si="3"/>
        <v>0.1608040201</v>
      </c>
      <c r="H38" s="3" t="s">
        <v>18</v>
      </c>
    </row>
    <row r="39" ht="15.75" customHeight="1">
      <c r="A39" s="3" t="s">
        <v>495</v>
      </c>
      <c r="B39" s="4" t="s">
        <v>19</v>
      </c>
      <c r="C39" s="4" t="s">
        <v>13</v>
      </c>
      <c r="D39" s="3" t="s">
        <v>70</v>
      </c>
      <c r="E39" s="4">
        <f t="shared" si="1"/>
        <v>36</v>
      </c>
      <c r="F39" s="4">
        <f t="shared" si="2"/>
        <v>199</v>
      </c>
      <c r="G39" s="4">
        <f t="shared" si="3"/>
        <v>0.1809045226</v>
      </c>
      <c r="H39" s="3" t="s">
        <v>18</v>
      </c>
    </row>
    <row r="40" ht="15.75" customHeight="1">
      <c r="A40" s="3" t="s">
        <v>495</v>
      </c>
      <c r="B40" s="4" t="s">
        <v>19</v>
      </c>
      <c r="C40" s="3" t="s">
        <v>496</v>
      </c>
      <c r="D40" s="3" t="s">
        <v>507</v>
      </c>
      <c r="E40" s="4">
        <f t="shared" si="1"/>
        <v>39</v>
      </c>
      <c r="F40" s="4">
        <f t="shared" si="2"/>
        <v>198</v>
      </c>
      <c r="G40" s="4">
        <f t="shared" si="3"/>
        <v>0.196969697</v>
      </c>
      <c r="H40" s="3" t="s">
        <v>18</v>
      </c>
    </row>
    <row r="41" ht="15.75" customHeight="1">
      <c r="A41" s="3" t="s">
        <v>495</v>
      </c>
      <c r="B41" s="4" t="s">
        <v>19</v>
      </c>
      <c r="C41" s="4" t="s">
        <v>16</v>
      </c>
      <c r="D41" s="3" t="s">
        <v>71</v>
      </c>
      <c r="E41" s="4">
        <f t="shared" si="1"/>
        <v>55</v>
      </c>
      <c r="F41" s="4">
        <f t="shared" si="2"/>
        <v>200</v>
      </c>
      <c r="G41" s="4">
        <f t="shared" si="3"/>
        <v>0.275</v>
      </c>
      <c r="H41" s="3" t="s">
        <v>18</v>
      </c>
    </row>
    <row r="42" ht="15.75" customHeight="1">
      <c r="A42" s="3" t="s">
        <v>495</v>
      </c>
      <c r="B42" s="4" t="s">
        <v>72</v>
      </c>
      <c r="C42" s="4" t="s">
        <v>10</v>
      </c>
      <c r="D42" s="3" t="s">
        <v>73</v>
      </c>
      <c r="E42" s="4">
        <f t="shared" si="1"/>
        <v>39</v>
      </c>
      <c r="F42" s="4">
        <f t="shared" si="2"/>
        <v>200</v>
      </c>
      <c r="G42" s="4">
        <f t="shared" si="3"/>
        <v>0.195</v>
      </c>
      <c r="H42" s="3" t="s">
        <v>18</v>
      </c>
    </row>
    <row r="43" ht="15.75" customHeight="1">
      <c r="A43" s="3" t="s">
        <v>495</v>
      </c>
      <c r="B43" s="4" t="s">
        <v>72</v>
      </c>
      <c r="C43" s="4" t="s">
        <v>13</v>
      </c>
      <c r="D43" s="3" t="s">
        <v>74</v>
      </c>
      <c r="E43" s="4">
        <f t="shared" si="1"/>
        <v>10</v>
      </c>
      <c r="F43" s="4">
        <f t="shared" si="2"/>
        <v>200</v>
      </c>
      <c r="G43" s="4">
        <f t="shared" si="3"/>
        <v>0.05</v>
      </c>
      <c r="H43" s="3" t="s">
        <v>12</v>
      </c>
    </row>
    <row r="44" ht="15.75" customHeight="1">
      <c r="A44" s="3" t="s">
        <v>495</v>
      </c>
      <c r="B44" s="4" t="s">
        <v>72</v>
      </c>
      <c r="C44" s="3" t="s">
        <v>496</v>
      </c>
      <c r="D44" s="3" t="s">
        <v>508</v>
      </c>
      <c r="E44" s="4">
        <f t="shared" si="1"/>
        <v>8</v>
      </c>
      <c r="F44" s="4">
        <f t="shared" si="2"/>
        <v>200</v>
      </c>
      <c r="G44" s="4">
        <f t="shared" si="3"/>
        <v>0.04</v>
      </c>
      <c r="H44" s="3" t="s">
        <v>12</v>
      </c>
    </row>
    <row r="45" ht="15.75" customHeight="1">
      <c r="A45" s="3" t="s">
        <v>495</v>
      </c>
      <c r="B45" s="4" t="s">
        <v>72</v>
      </c>
      <c r="C45" s="4" t="s">
        <v>16</v>
      </c>
      <c r="D45" s="3" t="s">
        <v>75</v>
      </c>
      <c r="E45" s="4">
        <f t="shared" si="1"/>
        <v>33</v>
      </c>
      <c r="F45" s="4">
        <f t="shared" si="2"/>
        <v>200</v>
      </c>
      <c r="G45" s="4">
        <f t="shared" si="3"/>
        <v>0.165</v>
      </c>
      <c r="H45" s="3" t="s">
        <v>18</v>
      </c>
    </row>
    <row r="46" ht="15.75" customHeight="1">
      <c r="A46" s="3" t="s">
        <v>495</v>
      </c>
      <c r="B46" s="4" t="s">
        <v>9</v>
      </c>
      <c r="C46" s="4" t="s">
        <v>10</v>
      </c>
      <c r="D46" s="3" t="s">
        <v>76</v>
      </c>
      <c r="E46" s="4">
        <f t="shared" si="1"/>
        <v>27</v>
      </c>
      <c r="F46" s="4">
        <f t="shared" si="2"/>
        <v>200</v>
      </c>
      <c r="G46" s="4">
        <f t="shared" si="3"/>
        <v>0.135</v>
      </c>
      <c r="H46" s="3" t="s">
        <v>18</v>
      </c>
    </row>
    <row r="47" ht="15.75" customHeight="1">
      <c r="A47" s="3" t="s">
        <v>495</v>
      </c>
      <c r="B47" s="4" t="s">
        <v>9</v>
      </c>
      <c r="C47" s="4" t="s">
        <v>13</v>
      </c>
      <c r="D47" s="3" t="s">
        <v>77</v>
      </c>
      <c r="E47" s="4">
        <f t="shared" si="1"/>
        <v>4</v>
      </c>
      <c r="F47" s="4">
        <f t="shared" si="2"/>
        <v>200</v>
      </c>
      <c r="G47" s="4">
        <f t="shared" si="3"/>
        <v>0.02</v>
      </c>
      <c r="H47" s="3" t="s">
        <v>509</v>
      </c>
    </row>
    <row r="48" ht="15.75" customHeight="1">
      <c r="A48" s="3" t="s">
        <v>495</v>
      </c>
      <c r="B48" s="4" t="s">
        <v>9</v>
      </c>
      <c r="C48" s="3" t="s">
        <v>496</v>
      </c>
      <c r="D48" s="3" t="s">
        <v>510</v>
      </c>
      <c r="E48" s="4">
        <f t="shared" si="1"/>
        <v>1</v>
      </c>
      <c r="F48" s="4">
        <f t="shared" si="2"/>
        <v>200</v>
      </c>
      <c r="G48" s="4">
        <f t="shared" si="3"/>
        <v>0.005</v>
      </c>
      <c r="H48" s="3" t="s">
        <v>15</v>
      </c>
    </row>
    <row r="49" ht="15.75" customHeight="1">
      <c r="A49" s="3" t="s">
        <v>495</v>
      </c>
      <c r="B49" s="4" t="s">
        <v>9</v>
      </c>
      <c r="C49" s="4" t="s">
        <v>16</v>
      </c>
      <c r="D49" s="3" t="s">
        <v>78</v>
      </c>
      <c r="E49" s="4">
        <f t="shared" si="1"/>
        <v>18</v>
      </c>
      <c r="F49" s="4">
        <f t="shared" si="2"/>
        <v>200</v>
      </c>
      <c r="G49" s="4">
        <f t="shared" si="3"/>
        <v>0.09</v>
      </c>
      <c r="H49" s="3" t="s">
        <v>58</v>
      </c>
    </row>
    <row r="50" ht="15.75" customHeight="1">
      <c r="A50" s="3" t="s">
        <v>495</v>
      </c>
      <c r="B50" s="4" t="s">
        <v>79</v>
      </c>
      <c r="C50" s="4" t="s">
        <v>10</v>
      </c>
      <c r="D50" s="3" t="s">
        <v>80</v>
      </c>
      <c r="E50" s="4">
        <f t="shared" si="1"/>
        <v>107</v>
      </c>
      <c r="F50" s="4">
        <f t="shared" si="2"/>
        <v>200</v>
      </c>
      <c r="G50" s="4">
        <f t="shared" si="3"/>
        <v>0.535</v>
      </c>
      <c r="H50" s="3" t="s">
        <v>12</v>
      </c>
    </row>
    <row r="51" ht="15.75" customHeight="1">
      <c r="A51" s="3" t="s">
        <v>495</v>
      </c>
      <c r="B51" s="4" t="s">
        <v>79</v>
      </c>
      <c r="C51" s="4" t="s">
        <v>13</v>
      </c>
      <c r="D51" s="3" t="s">
        <v>81</v>
      </c>
      <c r="E51" s="4">
        <f t="shared" si="1"/>
        <v>119</v>
      </c>
      <c r="F51" s="4">
        <f t="shared" si="2"/>
        <v>200</v>
      </c>
      <c r="G51" s="4">
        <f t="shared" si="3"/>
        <v>0.595</v>
      </c>
      <c r="H51" s="3" t="s">
        <v>58</v>
      </c>
    </row>
    <row r="52" ht="15.75" customHeight="1">
      <c r="A52" s="3" t="s">
        <v>495</v>
      </c>
      <c r="B52" s="4" t="s">
        <v>79</v>
      </c>
      <c r="C52" s="3" t="s">
        <v>496</v>
      </c>
      <c r="D52" s="3" t="s">
        <v>511</v>
      </c>
      <c r="E52" s="4">
        <f t="shared" si="1"/>
        <v>138</v>
      </c>
      <c r="F52" s="4">
        <f t="shared" si="2"/>
        <v>200</v>
      </c>
      <c r="G52" s="4">
        <f t="shared" si="3"/>
        <v>0.69</v>
      </c>
      <c r="H52" s="3" t="s">
        <v>18</v>
      </c>
    </row>
    <row r="53" ht="15.75" customHeight="1">
      <c r="A53" s="3" t="s">
        <v>495</v>
      </c>
      <c r="B53" s="4" t="s">
        <v>79</v>
      </c>
      <c r="C53" s="4" t="s">
        <v>16</v>
      </c>
      <c r="D53" s="3" t="s">
        <v>82</v>
      </c>
      <c r="E53" s="4">
        <f t="shared" si="1"/>
        <v>124</v>
      </c>
      <c r="F53" s="4">
        <f t="shared" si="2"/>
        <v>200</v>
      </c>
      <c r="G53" s="4">
        <f t="shared" si="3"/>
        <v>0.62</v>
      </c>
      <c r="H53" s="3" t="s">
        <v>58</v>
      </c>
    </row>
    <row r="54" ht="15.75" customHeight="1">
      <c r="A54" s="3" t="s">
        <v>495</v>
      </c>
      <c r="B54" s="4" t="s">
        <v>83</v>
      </c>
      <c r="C54" s="4" t="s">
        <v>10</v>
      </c>
      <c r="D54" s="3" t="s">
        <v>84</v>
      </c>
      <c r="E54" s="4">
        <f t="shared" si="1"/>
        <v>156</v>
      </c>
      <c r="F54" s="4">
        <f t="shared" si="2"/>
        <v>200</v>
      </c>
      <c r="G54" s="4">
        <f t="shared" si="3"/>
        <v>0.78</v>
      </c>
      <c r="H54" s="3" t="s">
        <v>58</v>
      </c>
    </row>
    <row r="55" ht="15.75" customHeight="1">
      <c r="A55" s="3" t="s">
        <v>495</v>
      </c>
      <c r="B55" s="4" t="s">
        <v>83</v>
      </c>
      <c r="C55" s="4" t="s">
        <v>13</v>
      </c>
      <c r="D55" s="3" t="s">
        <v>85</v>
      </c>
      <c r="E55" s="4">
        <f t="shared" si="1"/>
        <v>147</v>
      </c>
      <c r="F55" s="4">
        <f t="shared" si="2"/>
        <v>200</v>
      </c>
      <c r="G55" s="4">
        <f t="shared" si="3"/>
        <v>0.735</v>
      </c>
      <c r="H55" s="3" t="s">
        <v>12</v>
      </c>
    </row>
    <row r="56" ht="15.75" customHeight="1">
      <c r="A56" s="3" t="s">
        <v>495</v>
      </c>
      <c r="B56" s="4" t="s">
        <v>83</v>
      </c>
      <c r="C56" s="3" t="s">
        <v>496</v>
      </c>
      <c r="D56" s="3" t="s">
        <v>512</v>
      </c>
      <c r="E56" s="4">
        <f t="shared" si="1"/>
        <v>159</v>
      </c>
      <c r="F56" s="4">
        <f t="shared" si="2"/>
        <v>200</v>
      </c>
      <c r="G56" s="4">
        <f t="shared" si="3"/>
        <v>0.795</v>
      </c>
      <c r="H56" s="3" t="s">
        <v>58</v>
      </c>
    </row>
    <row r="57" ht="15.75" customHeight="1">
      <c r="A57" s="3" t="s">
        <v>495</v>
      </c>
      <c r="B57" s="4" t="s">
        <v>83</v>
      </c>
      <c r="C57" s="4" t="s">
        <v>16</v>
      </c>
      <c r="D57" s="3" t="s">
        <v>86</v>
      </c>
      <c r="E57" s="4">
        <f t="shared" si="1"/>
        <v>169</v>
      </c>
      <c r="F57" s="4">
        <f t="shared" si="2"/>
        <v>200</v>
      </c>
      <c r="G57" s="4">
        <f t="shared" si="3"/>
        <v>0.845</v>
      </c>
      <c r="H57" s="3" t="s">
        <v>18</v>
      </c>
    </row>
    <row r="58" ht="15.75" customHeight="1">
      <c r="A58" s="3" t="s">
        <v>495</v>
      </c>
      <c r="B58" s="4" t="s">
        <v>87</v>
      </c>
      <c r="C58" s="4" t="s">
        <v>10</v>
      </c>
      <c r="D58" s="3" t="s">
        <v>88</v>
      </c>
      <c r="E58" s="4">
        <f t="shared" si="1"/>
        <v>137</v>
      </c>
      <c r="F58" s="4">
        <f t="shared" si="2"/>
        <v>200</v>
      </c>
      <c r="G58" s="4">
        <f t="shared" si="3"/>
        <v>0.685</v>
      </c>
      <c r="H58" s="3" t="s">
        <v>18</v>
      </c>
    </row>
    <row r="59" ht="15.75" customHeight="1">
      <c r="A59" s="3" t="s">
        <v>495</v>
      </c>
      <c r="B59" s="4" t="s">
        <v>87</v>
      </c>
      <c r="C59" s="4" t="s">
        <v>13</v>
      </c>
      <c r="D59" s="3" t="s">
        <v>89</v>
      </c>
      <c r="E59" s="4">
        <f t="shared" si="1"/>
        <v>141</v>
      </c>
      <c r="F59" s="4">
        <f t="shared" si="2"/>
        <v>200</v>
      </c>
      <c r="G59" s="4">
        <f t="shared" si="3"/>
        <v>0.705</v>
      </c>
      <c r="H59" s="3" t="s">
        <v>18</v>
      </c>
    </row>
    <row r="60" ht="15.75" customHeight="1">
      <c r="A60" s="3" t="s">
        <v>495</v>
      </c>
      <c r="B60" s="4" t="s">
        <v>87</v>
      </c>
      <c r="C60" s="3" t="s">
        <v>496</v>
      </c>
      <c r="D60" s="3" t="s">
        <v>513</v>
      </c>
      <c r="E60" s="4">
        <f t="shared" si="1"/>
        <v>130</v>
      </c>
      <c r="F60" s="4">
        <f t="shared" si="2"/>
        <v>200</v>
      </c>
      <c r="G60" s="4">
        <f t="shared" si="3"/>
        <v>0.65</v>
      </c>
      <c r="H60" s="3" t="s">
        <v>18</v>
      </c>
    </row>
    <row r="61" ht="15.75" customHeight="1">
      <c r="A61" s="3" t="s">
        <v>495</v>
      </c>
      <c r="B61" s="4" t="s">
        <v>87</v>
      </c>
      <c r="C61" s="4" t="s">
        <v>16</v>
      </c>
      <c r="D61" s="3" t="s">
        <v>90</v>
      </c>
      <c r="E61" s="4">
        <f t="shared" si="1"/>
        <v>67</v>
      </c>
      <c r="F61" s="4">
        <f t="shared" si="2"/>
        <v>200</v>
      </c>
      <c r="G61" s="4">
        <f t="shared" si="3"/>
        <v>0.335</v>
      </c>
      <c r="H61" s="3" t="s">
        <v>12</v>
      </c>
    </row>
    <row r="62" ht="15.75" customHeight="1">
      <c r="A62" s="3" t="s">
        <v>495</v>
      </c>
      <c r="B62" s="4" t="s">
        <v>23</v>
      </c>
      <c r="C62" s="4" t="s">
        <v>10</v>
      </c>
      <c r="D62" s="3" t="s">
        <v>91</v>
      </c>
      <c r="E62" s="4">
        <f t="shared" si="1"/>
        <v>75</v>
      </c>
      <c r="F62" s="4">
        <f t="shared" si="2"/>
        <v>200</v>
      </c>
      <c r="G62" s="4">
        <f t="shared" si="3"/>
        <v>0.375</v>
      </c>
      <c r="H62" s="3" t="s">
        <v>18</v>
      </c>
    </row>
    <row r="63" ht="15.75" customHeight="1">
      <c r="A63" s="3" t="s">
        <v>495</v>
      </c>
      <c r="B63" s="4" t="s">
        <v>23</v>
      </c>
      <c r="C63" s="4" t="s">
        <v>13</v>
      </c>
      <c r="D63" s="3" t="s">
        <v>92</v>
      </c>
      <c r="E63" s="4">
        <f t="shared" si="1"/>
        <v>97</v>
      </c>
      <c r="F63" s="4">
        <f t="shared" si="2"/>
        <v>200</v>
      </c>
      <c r="G63" s="4">
        <f t="shared" si="3"/>
        <v>0.485</v>
      </c>
      <c r="H63" s="3" t="s">
        <v>18</v>
      </c>
    </row>
    <row r="64" ht="15.75" customHeight="1">
      <c r="A64" s="3" t="s">
        <v>495</v>
      </c>
      <c r="B64" s="4" t="s">
        <v>23</v>
      </c>
      <c r="C64" s="3" t="s">
        <v>496</v>
      </c>
      <c r="D64" s="3" t="s">
        <v>514</v>
      </c>
      <c r="E64" s="4">
        <f t="shared" si="1"/>
        <v>94</v>
      </c>
      <c r="F64" s="4">
        <f t="shared" si="2"/>
        <v>200</v>
      </c>
      <c r="G64" s="4">
        <f t="shared" si="3"/>
        <v>0.47</v>
      </c>
      <c r="H64" s="3" t="s">
        <v>18</v>
      </c>
    </row>
    <row r="65" ht="15.75" customHeight="1">
      <c r="A65" s="3" t="s">
        <v>495</v>
      </c>
      <c r="B65" s="4" t="s">
        <v>23</v>
      </c>
      <c r="C65" s="4" t="s">
        <v>16</v>
      </c>
      <c r="D65" s="3" t="s">
        <v>93</v>
      </c>
      <c r="E65" s="4">
        <f t="shared" si="1"/>
        <v>93</v>
      </c>
      <c r="F65" s="4">
        <f t="shared" si="2"/>
        <v>200</v>
      </c>
      <c r="G65" s="4">
        <f t="shared" si="3"/>
        <v>0.465</v>
      </c>
      <c r="H65" s="3" t="s">
        <v>18</v>
      </c>
    </row>
    <row r="66" ht="15.75" customHeight="1">
      <c r="A66" s="3" t="s">
        <v>495</v>
      </c>
      <c r="B66" s="4" t="s">
        <v>94</v>
      </c>
      <c r="C66" s="4" t="s">
        <v>10</v>
      </c>
      <c r="D66" s="3" t="s">
        <v>95</v>
      </c>
      <c r="E66" s="4">
        <f t="shared" si="1"/>
        <v>1844</v>
      </c>
      <c r="F66" s="4">
        <f t="shared" si="2"/>
        <v>3197</v>
      </c>
      <c r="G66" s="4">
        <f t="shared" si="3"/>
        <v>0.5767907413</v>
      </c>
      <c r="H66" s="3" t="s">
        <v>12</v>
      </c>
    </row>
    <row r="67" ht="15.75" customHeight="1">
      <c r="A67" s="3" t="s">
        <v>495</v>
      </c>
      <c r="B67" s="4" t="s">
        <v>94</v>
      </c>
      <c r="C67" s="4" t="s">
        <v>13</v>
      </c>
      <c r="D67" s="3" t="s">
        <v>96</v>
      </c>
      <c r="E67" s="4">
        <f t="shared" si="1"/>
        <v>1915</v>
      </c>
      <c r="F67" s="4">
        <f t="shared" si="2"/>
        <v>3197</v>
      </c>
      <c r="G67" s="4">
        <f t="shared" si="3"/>
        <v>0.5989990616</v>
      </c>
      <c r="H67" s="3" t="s">
        <v>58</v>
      </c>
    </row>
    <row r="68" ht="15.75" customHeight="1">
      <c r="A68" s="3" t="s">
        <v>495</v>
      </c>
      <c r="B68" s="4" t="s">
        <v>94</v>
      </c>
      <c r="C68" s="3" t="s">
        <v>496</v>
      </c>
      <c r="D68" s="3" t="s">
        <v>515</v>
      </c>
      <c r="E68" s="4">
        <f t="shared" si="1"/>
        <v>1943</v>
      </c>
      <c r="F68" s="4">
        <f t="shared" si="2"/>
        <v>3193</v>
      </c>
      <c r="G68" s="4">
        <f t="shared" si="3"/>
        <v>0.6085186345</v>
      </c>
      <c r="H68" s="3" t="s">
        <v>58</v>
      </c>
    </row>
    <row r="69" ht="15.75" customHeight="1">
      <c r="A69" s="3" t="s">
        <v>495</v>
      </c>
      <c r="B69" s="4" t="s">
        <v>94</v>
      </c>
      <c r="C69" s="4" t="s">
        <v>16</v>
      </c>
      <c r="D69" s="3" t="s">
        <v>97</v>
      </c>
      <c r="E69" s="4">
        <f t="shared" si="1"/>
        <v>2014</v>
      </c>
      <c r="F69" s="4">
        <f t="shared" si="2"/>
        <v>3185</v>
      </c>
      <c r="G69" s="4">
        <f t="shared" si="3"/>
        <v>0.6323390895</v>
      </c>
      <c r="H69" s="3" t="s">
        <v>18</v>
      </c>
    </row>
    <row r="70" ht="15.75" customHeight="1">
      <c r="A70" s="3" t="s">
        <v>516</v>
      </c>
      <c r="B70" s="4" t="s">
        <v>32</v>
      </c>
      <c r="C70" s="4" t="s">
        <v>10</v>
      </c>
      <c r="D70" s="3" t="s">
        <v>123</v>
      </c>
      <c r="E70" s="4">
        <f t="shared" si="1"/>
        <v>136</v>
      </c>
      <c r="F70" s="4">
        <f t="shared" si="2"/>
        <v>200</v>
      </c>
      <c r="G70" s="4">
        <f t="shared" si="3"/>
        <v>0.68</v>
      </c>
      <c r="H70" s="3" t="s">
        <v>18</v>
      </c>
    </row>
    <row r="71" ht="15.75" customHeight="1">
      <c r="A71" s="3" t="s">
        <v>516</v>
      </c>
      <c r="B71" s="4" t="s">
        <v>32</v>
      </c>
      <c r="C71" s="4" t="s">
        <v>13</v>
      </c>
      <c r="D71" s="3" t="s">
        <v>124</v>
      </c>
      <c r="E71" s="4">
        <f t="shared" si="1"/>
        <v>111</v>
      </c>
      <c r="F71" s="4">
        <f t="shared" si="2"/>
        <v>198</v>
      </c>
      <c r="G71" s="4">
        <f t="shared" si="3"/>
        <v>0.5606060606</v>
      </c>
      <c r="H71" s="3" t="s">
        <v>18</v>
      </c>
    </row>
    <row r="72" ht="15.75" customHeight="1">
      <c r="A72" s="3" t="s">
        <v>516</v>
      </c>
      <c r="B72" s="4" t="s">
        <v>32</v>
      </c>
      <c r="C72" s="3" t="s">
        <v>496</v>
      </c>
      <c r="D72" s="3" t="s">
        <v>517</v>
      </c>
      <c r="E72" s="4">
        <f t="shared" si="1"/>
        <v>127</v>
      </c>
      <c r="F72" s="4">
        <f t="shared" si="2"/>
        <v>200</v>
      </c>
      <c r="G72" s="4">
        <f t="shared" si="3"/>
        <v>0.635</v>
      </c>
      <c r="H72" s="3" t="s">
        <v>18</v>
      </c>
    </row>
    <row r="73" ht="15.75" customHeight="1">
      <c r="A73" s="3" t="s">
        <v>516</v>
      </c>
      <c r="B73" s="4" t="s">
        <v>32</v>
      </c>
      <c r="C73" s="4" t="s">
        <v>16</v>
      </c>
      <c r="D73" s="3" t="s">
        <v>125</v>
      </c>
      <c r="E73" s="4">
        <f t="shared" si="1"/>
        <v>130</v>
      </c>
      <c r="F73" s="4">
        <f t="shared" si="2"/>
        <v>200</v>
      </c>
      <c r="G73" s="4">
        <f t="shared" si="3"/>
        <v>0.65</v>
      </c>
      <c r="H73" s="3" t="s">
        <v>18</v>
      </c>
    </row>
    <row r="74" ht="15.75" customHeight="1">
      <c r="A74" s="3" t="s">
        <v>516</v>
      </c>
      <c r="B74" s="4" t="s">
        <v>36</v>
      </c>
      <c r="C74" s="4" t="s">
        <v>10</v>
      </c>
      <c r="D74" s="3" t="s">
        <v>126</v>
      </c>
      <c r="E74" s="4">
        <f t="shared" si="1"/>
        <v>89</v>
      </c>
      <c r="F74" s="4">
        <f t="shared" si="2"/>
        <v>199</v>
      </c>
      <c r="G74" s="4">
        <f t="shared" si="3"/>
        <v>0.4472361809</v>
      </c>
      <c r="H74" s="3" t="s">
        <v>12</v>
      </c>
    </row>
    <row r="75" ht="15.75" customHeight="1">
      <c r="A75" s="3" t="s">
        <v>516</v>
      </c>
      <c r="B75" s="4" t="s">
        <v>36</v>
      </c>
      <c r="C75" s="4" t="s">
        <v>13</v>
      </c>
      <c r="D75" s="3" t="s">
        <v>127</v>
      </c>
      <c r="E75" s="4">
        <f t="shared" si="1"/>
        <v>133</v>
      </c>
      <c r="F75" s="4">
        <f t="shared" si="2"/>
        <v>198</v>
      </c>
      <c r="G75" s="4">
        <f t="shared" si="3"/>
        <v>0.6717171717</v>
      </c>
      <c r="H75" s="3" t="s">
        <v>18</v>
      </c>
    </row>
    <row r="76" ht="15.75" customHeight="1">
      <c r="A76" s="3" t="s">
        <v>516</v>
      </c>
      <c r="B76" s="4" t="s">
        <v>36</v>
      </c>
      <c r="C76" s="3" t="s">
        <v>496</v>
      </c>
      <c r="D76" s="3" t="s">
        <v>518</v>
      </c>
      <c r="E76" s="4">
        <f t="shared" si="1"/>
        <v>139</v>
      </c>
      <c r="F76" s="4">
        <f t="shared" si="2"/>
        <v>200</v>
      </c>
      <c r="G76" s="4">
        <f t="shared" si="3"/>
        <v>0.695</v>
      </c>
      <c r="H76" s="3" t="s">
        <v>18</v>
      </c>
    </row>
    <row r="77" ht="15.75" customHeight="1">
      <c r="A77" s="3" t="s">
        <v>516</v>
      </c>
      <c r="B77" s="4" t="s">
        <v>36</v>
      </c>
      <c r="C77" s="4" t="s">
        <v>16</v>
      </c>
      <c r="D77" s="3" t="s">
        <v>128</v>
      </c>
      <c r="E77" s="4">
        <f t="shared" si="1"/>
        <v>134</v>
      </c>
      <c r="F77" s="4">
        <f t="shared" si="2"/>
        <v>198</v>
      </c>
      <c r="G77" s="4">
        <f t="shared" si="3"/>
        <v>0.6767676768</v>
      </c>
      <c r="H77" s="3" t="s">
        <v>18</v>
      </c>
    </row>
    <row r="78" ht="15.75" customHeight="1">
      <c r="A78" s="3" t="s">
        <v>516</v>
      </c>
      <c r="B78" s="4" t="s">
        <v>40</v>
      </c>
      <c r="C78" s="4" t="s">
        <v>10</v>
      </c>
      <c r="D78" s="3" t="s">
        <v>129</v>
      </c>
      <c r="E78" s="4">
        <f t="shared" si="1"/>
        <v>126</v>
      </c>
      <c r="F78" s="4">
        <f t="shared" si="2"/>
        <v>197</v>
      </c>
      <c r="G78" s="4">
        <f t="shared" si="3"/>
        <v>0.6395939086</v>
      </c>
      <c r="H78" s="3" t="s">
        <v>58</v>
      </c>
    </row>
    <row r="79" ht="15.75" customHeight="1">
      <c r="A79" s="3" t="s">
        <v>516</v>
      </c>
      <c r="B79" s="4" t="s">
        <v>40</v>
      </c>
      <c r="C79" s="4" t="s">
        <v>13</v>
      </c>
      <c r="D79" s="3" t="s">
        <v>130</v>
      </c>
      <c r="E79" s="4">
        <f t="shared" si="1"/>
        <v>115</v>
      </c>
      <c r="F79" s="4">
        <f t="shared" si="2"/>
        <v>193</v>
      </c>
      <c r="G79" s="4">
        <f t="shared" si="3"/>
        <v>0.5958549223</v>
      </c>
      <c r="H79" s="3" t="s">
        <v>12</v>
      </c>
    </row>
    <row r="80" ht="15.75" customHeight="1">
      <c r="A80" s="3" t="s">
        <v>516</v>
      </c>
      <c r="B80" s="4" t="s">
        <v>40</v>
      </c>
      <c r="C80" s="3" t="s">
        <v>496</v>
      </c>
      <c r="D80" s="3" t="s">
        <v>519</v>
      </c>
      <c r="E80" s="4">
        <f t="shared" si="1"/>
        <v>137</v>
      </c>
      <c r="F80" s="4">
        <f t="shared" si="2"/>
        <v>197</v>
      </c>
      <c r="G80" s="4">
        <f t="shared" si="3"/>
        <v>0.6954314721</v>
      </c>
      <c r="H80" s="3" t="s">
        <v>58</v>
      </c>
    </row>
    <row r="81" ht="15.75" customHeight="1">
      <c r="A81" s="3" t="s">
        <v>516</v>
      </c>
      <c r="B81" s="4" t="s">
        <v>40</v>
      </c>
      <c r="C81" s="4" t="s">
        <v>16</v>
      </c>
      <c r="D81" s="3" t="s">
        <v>131</v>
      </c>
      <c r="E81" s="4">
        <f t="shared" si="1"/>
        <v>152</v>
      </c>
      <c r="F81" s="4">
        <f t="shared" si="2"/>
        <v>200</v>
      </c>
      <c r="G81" s="4">
        <f t="shared" si="3"/>
        <v>0.76</v>
      </c>
      <c r="H81" s="3" t="s">
        <v>18</v>
      </c>
    </row>
    <row r="82" ht="15.75" customHeight="1">
      <c r="A82" s="3" t="s">
        <v>516</v>
      </c>
      <c r="B82" s="4" t="s">
        <v>44</v>
      </c>
      <c r="C82" s="4" t="s">
        <v>10</v>
      </c>
      <c r="D82" s="3" t="s">
        <v>132</v>
      </c>
      <c r="E82" s="4">
        <f t="shared" si="1"/>
        <v>79</v>
      </c>
      <c r="F82" s="4">
        <f t="shared" si="2"/>
        <v>195</v>
      </c>
      <c r="G82" s="4">
        <f t="shared" si="3"/>
        <v>0.4051282051</v>
      </c>
      <c r="H82" s="3" t="s">
        <v>12</v>
      </c>
    </row>
    <row r="83" ht="15.75" customHeight="1">
      <c r="A83" s="3" t="s">
        <v>516</v>
      </c>
      <c r="B83" s="4" t="s">
        <v>44</v>
      </c>
      <c r="C83" s="4" t="s">
        <v>13</v>
      </c>
      <c r="D83" s="3" t="s">
        <v>133</v>
      </c>
      <c r="E83" s="4">
        <f t="shared" si="1"/>
        <v>75</v>
      </c>
      <c r="F83" s="4">
        <f t="shared" si="2"/>
        <v>197</v>
      </c>
      <c r="G83" s="4">
        <f t="shared" si="3"/>
        <v>0.3807106599</v>
      </c>
      <c r="H83" s="3" t="s">
        <v>12</v>
      </c>
    </row>
    <row r="84" ht="15.75" customHeight="1">
      <c r="A84" s="3" t="s">
        <v>516</v>
      </c>
      <c r="B84" s="4" t="s">
        <v>44</v>
      </c>
      <c r="C84" s="3" t="s">
        <v>496</v>
      </c>
      <c r="D84" s="3" t="s">
        <v>520</v>
      </c>
      <c r="E84" s="4">
        <f t="shared" si="1"/>
        <v>109</v>
      </c>
      <c r="F84" s="4">
        <f t="shared" si="2"/>
        <v>196</v>
      </c>
      <c r="G84" s="4">
        <f t="shared" si="3"/>
        <v>0.556122449</v>
      </c>
      <c r="H84" s="3" t="s">
        <v>18</v>
      </c>
    </row>
    <row r="85" ht="15.75" customHeight="1">
      <c r="A85" s="3" t="s">
        <v>516</v>
      </c>
      <c r="B85" s="4" t="s">
        <v>44</v>
      </c>
      <c r="C85" s="4" t="s">
        <v>16</v>
      </c>
      <c r="D85" s="3" t="s">
        <v>134</v>
      </c>
      <c r="E85" s="4">
        <f t="shared" si="1"/>
        <v>118</v>
      </c>
      <c r="F85" s="4">
        <f t="shared" si="2"/>
        <v>198</v>
      </c>
      <c r="G85" s="4">
        <f t="shared" si="3"/>
        <v>0.595959596</v>
      </c>
      <c r="H85" s="3" t="s">
        <v>18</v>
      </c>
    </row>
    <row r="86" ht="15.75" customHeight="1">
      <c r="A86" s="3" t="s">
        <v>516</v>
      </c>
      <c r="B86" s="4" t="s">
        <v>48</v>
      </c>
      <c r="C86" s="4" t="s">
        <v>10</v>
      </c>
      <c r="D86" s="3" t="s">
        <v>135</v>
      </c>
      <c r="E86" s="4">
        <f t="shared" si="1"/>
        <v>86</v>
      </c>
      <c r="F86" s="4">
        <f t="shared" si="2"/>
        <v>200</v>
      </c>
      <c r="G86" s="4">
        <f t="shared" si="3"/>
        <v>0.43</v>
      </c>
      <c r="H86" s="3" t="s">
        <v>12</v>
      </c>
    </row>
    <row r="87" ht="15.75" customHeight="1">
      <c r="A87" s="3" t="s">
        <v>516</v>
      </c>
      <c r="B87" s="4" t="s">
        <v>48</v>
      </c>
      <c r="C87" s="4" t="s">
        <v>13</v>
      </c>
      <c r="D87" s="3" t="s">
        <v>136</v>
      </c>
      <c r="E87" s="4">
        <f t="shared" si="1"/>
        <v>147</v>
      </c>
      <c r="F87" s="4">
        <f t="shared" si="2"/>
        <v>200</v>
      </c>
      <c r="G87" s="4">
        <f t="shared" si="3"/>
        <v>0.735</v>
      </c>
      <c r="H87" s="3" t="s">
        <v>18</v>
      </c>
    </row>
    <row r="88" ht="15.75" customHeight="1">
      <c r="A88" s="3" t="s">
        <v>516</v>
      </c>
      <c r="B88" s="4" t="s">
        <v>48</v>
      </c>
      <c r="C88" s="3" t="s">
        <v>496</v>
      </c>
      <c r="D88" s="3" t="s">
        <v>521</v>
      </c>
      <c r="E88" s="4">
        <f t="shared" si="1"/>
        <v>153</v>
      </c>
      <c r="F88" s="4">
        <f t="shared" si="2"/>
        <v>200</v>
      </c>
      <c r="G88" s="4">
        <f t="shared" si="3"/>
        <v>0.765</v>
      </c>
      <c r="H88" s="3" t="s">
        <v>18</v>
      </c>
    </row>
    <row r="89" ht="15.75" customHeight="1">
      <c r="A89" s="3" t="s">
        <v>516</v>
      </c>
      <c r="B89" s="4" t="s">
        <v>48</v>
      </c>
      <c r="C89" s="4" t="s">
        <v>16</v>
      </c>
      <c r="D89" s="3" t="s">
        <v>137</v>
      </c>
      <c r="E89" s="4">
        <f t="shared" si="1"/>
        <v>157</v>
      </c>
      <c r="F89" s="4">
        <f t="shared" si="2"/>
        <v>200</v>
      </c>
      <c r="G89" s="4">
        <f t="shared" si="3"/>
        <v>0.785</v>
      </c>
      <c r="H89" s="3" t="s">
        <v>18</v>
      </c>
    </row>
    <row r="90" ht="15.75" customHeight="1">
      <c r="A90" s="3" t="s">
        <v>516</v>
      </c>
      <c r="B90" s="4" t="s">
        <v>52</v>
      </c>
      <c r="C90" s="4" t="s">
        <v>10</v>
      </c>
      <c r="D90" s="3" t="s">
        <v>138</v>
      </c>
      <c r="E90" s="4">
        <f t="shared" si="1"/>
        <v>175</v>
      </c>
      <c r="F90" s="4">
        <f t="shared" si="2"/>
        <v>200</v>
      </c>
      <c r="G90" s="4">
        <f t="shared" si="3"/>
        <v>0.875</v>
      </c>
      <c r="H90" s="3" t="s">
        <v>18</v>
      </c>
    </row>
    <row r="91" ht="15.75" customHeight="1">
      <c r="A91" s="3" t="s">
        <v>516</v>
      </c>
      <c r="B91" s="4" t="s">
        <v>52</v>
      </c>
      <c r="C91" s="4" t="s">
        <v>13</v>
      </c>
      <c r="D91" s="3" t="s">
        <v>139</v>
      </c>
      <c r="E91" s="4">
        <f t="shared" si="1"/>
        <v>84</v>
      </c>
      <c r="F91" s="4">
        <f t="shared" si="2"/>
        <v>200</v>
      </c>
      <c r="G91" s="4">
        <f t="shared" si="3"/>
        <v>0.42</v>
      </c>
      <c r="H91" s="3" t="s">
        <v>15</v>
      </c>
    </row>
    <row r="92" ht="15.75" customHeight="1">
      <c r="A92" s="3" t="s">
        <v>516</v>
      </c>
      <c r="B92" s="4" t="s">
        <v>52</v>
      </c>
      <c r="C92" s="3" t="s">
        <v>496</v>
      </c>
      <c r="D92" s="3" t="s">
        <v>522</v>
      </c>
      <c r="E92" s="4">
        <f t="shared" si="1"/>
        <v>100</v>
      </c>
      <c r="F92" s="4">
        <f t="shared" si="2"/>
        <v>200</v>
      </c>
      <c r="G92" s="4">
        <f t="shared" si="3"/>
        <v>0.5</v>
      </c>
      <c r="H92" s="3" t="s">
        <v>15</v>
      </c>
    </row>
    <row r="93" ht="15.75" customHeight="1">
      <c r="A93" s="3" t="s">
        <v>516</v>
      </c>
      <c r="B93" s="4" t="s">
        <v>52</v>
      </c>
      <c r="C93" s="4" t="s">
        <v>16</v>
      </c>
      <c r="D93" s="3" t="s">
        <v>140</v>
      </c>
      <c r="E93" s="4">
        <f t="shared" si="1"/>
        <v>135</v>
      </c>
      <c r="F93" s="4">
        <f t="shared" si="2"/>
        <v>199</v>
      </c>
      <c r="G93" s="4">
        <f t="shared" si="3"/>
        <v>0.6783919598</v>
      </c>
      <c r="H93" s="3" t="s">
        <v>12</v>
      </c>
    </row>
    <row r="94" ht="15.75" customHeight="1">
      <c r="A94" s="3" t="s">
        <v>516</v>
      </c>
      <c r="B94" s="4" t="s">
        <v>56</v>
      </c>
      <c r="C94" s="4" t="s">
        <v>10</v>
      </c>
      <c r="D94" s="3" t="s">
        <v>141</v>
      </c>
      <c r="E94" s="4">
        <f t="shared" si="1"/>
        <v>104</v>
      </c>
      <c r="F94" s="4">
        <f t="shared" si="2"/>
        <v>198</v>
      </c>
      <c r="G94" s="4">
        <f t="shared" si="3"/>
        <v>0.5252525253</v>
      </c>
      <c r="H94" s="3" t="s">
        <v>58</v>
      </c>
    </row>
    <row r="95" ht="15.75" customHeight="1">
      <c r="A95" s="3" t="s">
        <v>516</v>
      </c>
      <c r="B95" s="4" t="s">
        <v>56</v>
      </c>
      <c r="C95" s="4" t="s">
        <v>13</v>
      </c>
      <c r="D95" s="3" t="s">
        <v>142</v>
      </c>
      <c r="E95" s="4">
        <f t="shared" si="1"/>
        <v>93</v>
      </c>
      <c r="F95" s="4">
        <f t="shared" si="2"/>
        <v>200</v>
      </c>
      <c r="G95" s="4">
        <f t="shared" si="3"/>
        <v>0.465</v>
      </c>
      <c r="H95" s="3" t="s">
        <v>12</v>
      </c>
    </row>
    <row r="96" ht="15.75" customHeight="1">
      <c r="A96" s="3" t="s">
        <v>516</v>
      </c>
      <c r="B96" s="4" t="s">
        <v>56</v>
      </c>
      <c r="C96" s="3" t="s">
        <v>496</v>
      </c>
      <c r="D96" s="3" t="s">
        <v>523</v>
      </c>
      <c r="E96" s="4">
        <f t="shared" si="1"/>
        <v>88</v>
      </c>
      <c r="F96" s="4">
        <f t="shared" si="2"/>
        <v>200</v>
      </c>
      <c r="G96" s="4">
        <f t="shared" si="3"/>
        <v>0.44</v>
      </c>
      <c r="H96" s="3" t="s">
        <v>12</v>
      </c>
    </row>
    <row r="97" ht="15.75" customHeight="1">
      <c r="A97" s="3" t="s">
        <v>516</v>
      </c>
      <c r="B97" s="4" t="s">
        <v>56</v>
      </c>
      <c r="C97" s="4" t="s">
        <v>16</v>
      </c>
      <c r="D97" s="3" t="s">
        <v>143</v>
      </c>
      <c r="E97" s="4">
        <f t="shared" si="1"/>
        <v>128</v>
      </c>
      <c r="F97" s="4">
        <f t="shared" si="2"/>
        <v>200</v>
      </c>
      <c r="G97" s="4">
        <f t="shared" si="3"/>
        <v>0.64</v>
      </c>
      <c r="H97" s="3" t="s">
        <v>18</v>
      </c>
    </row>
    <row r="98" ht="15.75" customHeight="1">
      <c r="A98" s="3" t="s">
        <v>516</v>
      </c>
      <c r="B98" s="4" t="s">
        <v>61</v>
      </c>
      <c r="C98" s="4" t="s">
        <v>10</v>
      </c>
      <c r="D98" s="3" t="s">
        <v>144</v>
      </c>
      <c r="E98" s="4">
        <f t="shared" si="1"/>
        <v>66</v>
      </c>
      <c r="F98" s="4">
        <f t="shared" si="2"/>
        <v>200</v>
      </c>
      <c r="G98" s="4">
        <f t="shared" si="3"/>
        <v>0.33</v>
      </c>
      <c r="H98" s="3" t="s">
        <v>18</v>
      </c>
    </row>
    <row r="99" ht="15.75" customHeight="1">
      <c r="A99" s="3" t="s">
        <v>516</v>
      </c>
      <c r="B99" s="4" t="s">
        <v>61</v>
      </c>
      <c r="C99" s="4" t="s">
        <v>13</v>
      </c>
      <c r="D99" s="3" t="s">
        <v>145</v>
      </c>
      <c r="E99" s="4">
        <f t="shared" si="1"/>
        <v>36</v>
      </c>
      <c r="F99" s="4">
        <f t="shared" si="2"/>
        <v>200</v>
      </c>
      <c r="G99" s="4">
        <f t="shared" si="3"/>
        <v>0.18</v>
      </c>
      <c r="H99" s="3" t="s">
        <v>12</v>
      </c>
    </row>
    <row r="100" ht="15.75" customHeight="1">
      <c r="A100" s="3" t="s">
        <v>516</v>
      </c>
      <c r="B100" s="4" t="s">
        <v>61</v>
      </c>
      <c r="C100" s="3" t="s">
        <v>496</v>
      </c>
      <c r="D100" s="3" t="s">
        <v>524</v>
      </c>
      <c r="E100" s="4">
        <f t="shared" si="1"/>
        <v>85</v>
      </c>
      <c r="F100" s="4">
        <f t="shared" si="2"/>
        <v>200</v>
      </c>
      <c r="G100" s="4">
        <f t="shared" si="3"/>
        <v>0.425</v>
      </c>
      <c r="H100" s="3" t="s">
        <v>18</v>
      </c>
    </row>
    <row r="101" ht="15.75" customHeight="1">
      <c r="A101" s="3" t="s">
        <v>516</v>
      </c>
      <c r="B101" s="4" t="s">
        <v>61</v>
      </c>
      <c r="C101" s="4" t="s">
        <v>16</v>
      </c>
      <c r="D101" s="3" t="s">
        <v>146</v>
      </c>
      <c r="E101" s="4">
        <f t="shared" si="1"/>
        <v>77</v>
      </c>
      <c r="F101" s="4">
        <f t="shared" si="2"/>
        <v>200</v>
      </c>
      <c r="G101" s="4">
        <f t="shared" si="3"/>
        <v>0.385</v>
      </c>
      <c r="H101" s="3" t="s">
        <v>18</v>
      </c>
    </row>
    <row r="102" ht="15.75" customHeight="1">
      <c r="A102" s="3" t="s">
        <v>516</v>
      </c>
      <c r="B102" s="4" t="s">
        <v>65</v>
      </c>
      <c r="C102" s="4" t="s">
        <v>10</v>
      </c>
      <c r="D102" s="3" t="s">
        <v>147</v>
      </c>
      <c r="E102" s="4">
        <f t="shared" si="1"/>
        <v>62</v>
      </c>
      <c r="F102" s="4">
        <f t="shared" si="2"/>
        <v>200</v>
      </c>
      <c r="G102" s="4">
        <f t="shared" si="3"/>
        <v>0.31</v>
      </c>
      <c r="H102" s="3" t="s">
        <v>12</v>
      </c>
    </row>
    <row r="103" ht="15.75" customHeight="1">
      <c r="A103" s="3" t="s">
        <v>516</v>
      </c>
      <c r="B103" s="4" t="s">
        <v>65</v>
      </c>
      <c r="C103" s="4" t="s">
        <v>13</v>
      </c>
      <c r="D103" s="3" t="s">
        <v>148</v>
      </c>
      <c r="E103" s="4">
        <f t="shared" si="1"/>
        <v>41</v>
      </c>
      <c r="F103" s="4">
        <f t="shared" si="2"/>
        <v>198</v>
      </c>
      <c r="G103" s="4">
        <f t="shared" si="3"/>
        <v>0.2070707071</v>
      </c>
      <c r="H103" s="3" t="s">
        <v>12</v>
      </c>
    </row>
    <row r="104" ht="15.75" customHeight="1">
      <c r="A104" s="3" t="s">
        <v>516</v>
      </c>
      <c r="B104" s="4" t="s">
        <v>65</v>
      </c>
      <c r="C104" s="3" t="s">
        <v>496</v>
      </c>
      <c r="D104" s="3" t="s">
        <v>525</v>
      </c>
      <c r="E104" s="4">
        <f t="shared" si="1"/>
        <v>44</v>
      </c>
      <c r="F104" s="4">
        <f t="shared" si="2"/>
        <v>199</v>
      </c>
      <c r="G104" s="4">
        <f t="shared" si="3"/>
        <v>0.2211055276</v>
      </c>
      <c r="H104" s="3" t="s">
        <v>12</v>
      </c>
    </row>
    <row r="105" ht="15.75" customHeight="1">
      <c r="A105" s="3" t="s">
        <v>516</v>
      </c>
      <c r="B105" s="4" t="s">
        <v>65</v>
      </c>
      <c r="C105" s="4" t="s">
        <v>16</v>
      </c>
      <c r="D105" s="3" t="s">
        <v>149</v>
      </c>
      <c r="E105" s="4">
        <f t="shared" si="1"/>
        <v>91</v>
      </c>
      <c r="F105" s="4">
        <f t="shared" si="2"/>
        <v>200</v>
      </c>
      <c r="G105" s="4">
        <f t="shared" si="3"/>
        <v>0.455</v>
      </c>
      <c r="H105" s="3" t="s">
        <v>18</v>
      </c>
    </row>
    <row r="106" ht="15.75" customHeight="1">
      <c r="A106" s="3" t="s">
        <v>516</v>
      </c>
      <c r="B106" s="4" t="s">
        <v>19</v>
      </c>
      <c r="C106" s="4" t="s">
        <v>10</v>
      </c>
      <c r="D106" s="3" t="s">
        <v>150</v>
      </c>
      <c r="E106" s="4">
        <f t="shared" si="1"/>
        <v>5</v>
      </c>
      <c r="F106" s="4">
        <f t="shared" si="2"/>
        <v>200</v>
      </c>
      <c r="G106" s="4">
        <f t="shared" si="3"/>
        <v>0.025</v>
      </c>
      <c r="H106" s="3" t="s">
        <v>15</v>
      </c>
    </row>
    <row r="107" ht="15.75" customHeight="1">
      <c r="A107" s="3" t="s">
        <v>516</v>
      </c>
      <c r="B107" s="4" t="s">
        <v>19</v>
      </c>
      <c r="C107" s="4" t="s">
        <v>13</v>
      </c>
      <c r="D107" s="3" t="s">
        <v>151</v>
      </c>
      <c r="E107" s="4">
        <f t="shared" si="1"/>
        <v>29</v>
      </c>
      <c r="F107" s="4">
        <f t="shared" si="2"/>
        <v>198</v>
      </c>
      <c r="G107" s="4">
        <f t="shared" si="3"/>
        <v>0.1464646465</v>
      </c>
      <c r="H107" s="3" t="s">
        <v>58</v>
      </c>
    </row>
    <row r="108" ht="15.75" customHeight="1">
      <c r="A108" s="3" t="s">
        <v>516</v>
      </c>
      <c r="B108" s="4" t="s">
        <v>19</v>
      </c>
      <c r="C108" s="3" t="s">
        <v>496</v>
      </c>
      <c r="D108" s="3" t="s">
        <v>526</v>
      </c>
      <c r="E108" s="4">
        <f t="shared" si="1"/>
        <v>20</v>
      </c>
      <c r="F108" s="4">
        <f t="shared" si="2"/>
        <v>199</v>
      </c>
      <c r="G108" s="4">
        <f t="shared" si="3"/>
        <v>0.1005025126</v>
      </c>
      <c r="H108" s="3" t="s">
        <v>509</v>
      </c>
    </row>
    <row r="109" ht="15.75" customHeight="1">
      <c r="A109" s="3" t="s">
        <v>516</v>
      </c>
      <c r="B109" s="4" t="s">
        <v>19</v>
      </c>
      <c r="C109" s="4" t="s">
        <v>16</v>
      </c>
      <c r="D109" s="3" t="s">
        <v>152</v>
      </c>
      <c r="E109" s="4">
        <f t="shared" si="1"/>
        <v>41</v>
      </c>
      <c r="F109" s="4">
        <f t="shared" si="2"/>
        <v>199</v>
      </c>
      <c r="G109" s="4">
        <f t="shared" si="3"/>
        <v>0.2060301508</v>
      </c>
      <c r="H109" s="3" t="s">
        <v>18</v>
      </c>
    </row>
    <row r="110" ht="15.75" customHeight="1">
      <c r="A110" s="3" t="s">
        <v>516</v>
      </c>
      <c r="B110" s="4" t="s">
        <v>72</v>
      </c>
      <c r="C110" s="4" t="s">
        <v>10</v>
      </c>
      <c r="D110" s="3" t="s">
        <v>153</v>
      </c>
      <c r="E110" s="4">
        <f t="shared" si="1"/>
        <v>35</v>
      </c>
      <c r="F110" s="4">
        <f t="shared" si="2"/>
        <v>199</v>
      </c>
      <c r="G110" s="4">
        <f t="shared" si="3"/>
        <v>0.175879397</v>
      </c>
      <c r="H110" s="3" t="s">
        <v>12</v>
      </c>
    </row>
    <row r="111" ht="15.75" customHeight="1">
      <c r="A111" s="3" t="s">
        <v>516</v>
      </c>
      <c r="B111" s="4" t="s">
        <v>72</v>
      </c>
      <c r="C111" s="4" t="s">
        <v>13</v>
      </c>
      <c r="D111" s="3" t="s">
        <v>154</v>
      </c>
      <c r="E111" s="4">
        <f t="shared" si="1"/>
        <v>18</v>
      </c>
      <c r="F111" s="4">
        <f t="shared" si="2"/>
        <v>200</v>
      </c>
      <c r="G111" s="4">
        <f t="shared" si="3"/>
        <v>0.09</v>
      </c>
      <c r="H111" s="3" t="s">
        <v>12</v>
      </c>
    </row>
    <row r="112" ht="15.75" customHeight="1">
      <c r="A112" s="3" t="s">
        <v>516</v>
      </c>
      <c r="B112" s="4" t="s">
        <v>72</v>
      </c>
      <c r="C112" s="3" t="s">
        <v>496</v>
      </c>
      <c r="D112" s="3" t="s">
        <v>527</v>
      </c>
      <c r="E112" s="4">
        <f t="shared" si="1"/>
        <v>16</v>
      </c>
      <c r="F112" s="4">
        <f t="shared" si="2"/>
        <v>199</v>
      </c>
      <c r="G112" s="4">
        <f t="shared" si="3"/>
        <v>0.08040201005</v>
      </c>
      <c r="H112" s="3" t="s">
        <v>12</v>
      </c>
    </row>
    <row r="113" ht="15.75" customHeight="1">
      <c r="A113" s="3" t="s">
        <v>516</v>
      </c>
      <c r="B113" s="4" t="s">
        <v>72</v>
      </c>
      <c r="C113" s="4" t="s">
        <v>16</v>
      </c>
      <c r="D113" s="3" t="s">
        <v>155</v>
      </c>
      <c r="E113" s="4">
        <f t="shared" si="1"/>
        <v>69</v>
      </c>
      <c r="F113" s="4">
        <f t="shared" si="2"/>
        <v>200</v>
      </c>
      <c r="G113" s="4">
        <f t="shared" si="3"/>
        <v>0.345</v>
      </c>
      <c r="H113" s="3" t="s">
        <v>18</v>
      </c>
    </row>
    <row r="114" ht="15.75" customHeight="1">
      <c r="A114" s="3" t="s">
        <v>516</v>
      </c>
      <c r="B114" s="4" t="s">
        <v>9</v>
      </c>
      <c r="C114" s="4" t="s">
        <v>10</v>
      </c>
      <c r="D114" s="3" t="s">
        <v>156</v>
      </c>
      <c r="E114" s="4">
        <f t="shared" si="1"/>
        <v>3</v>
      </c>
      <c r="F114" s="4">
        <f t="shared" si="2"/>
        <v>191</v>
      </c>
      <c r="G114" s="4">
        <f t="shared" si="3"/>
        <v>0.01570680628</v>
      </c>
      <c r="H114" s="3" t="s">
        <v>58</v>
      </c>
    </row>
    <row r="115" ht="15.75" customHeight="1">
      <c r="A115" s="3" t="s">
        <v>516</v>
      </c>
      <c r="B115" s="4" t="s">
        <v>9</v>
      </c>
      <c r="C115" s="4" t="s">
        <v>13</v>
      </c>
      <c r="D115" s="3" t="s">
        <v>157</v>
      </c>
      <c r="E115" s="4">
        <f t="shared" si="1"/>
        <v>2</v>
      </c>
      <c r="F115" s="4">
        <f t="shared" si="2"/>
        <v>200</v>
      </c>
      <c r="G115" s="4">
        <f t="shared" si="3"/>
        <v>0.01</v>
      </c>
      <c r="H115" s="3" t="s">
        <v>12</v>
      </c>
    </row>
    <row r="116" ht="15.75" customHeight="1">
      <c r="A116" s="3" t="s">
        <v>516</v>
      </c>
      <c r="B116" s="4" t="s">
        <v>9</v>
      </c>
      <c r="C116" s="3" t="s">
        <v>496</v>
      </c>
      <c r="D116" s="3" t="s">
        <v>528</v>
      </c>
      <c r="E116" s="4">
        <f t="shared" si="1"/>
        <v>3</v>
      </c>
      <c r="F116" s="4">
        <f t="shared" si="2"/>
        <v>200</v>
      </c>
      <c r="G116" s="4">
        <f t="shared" si="3"/>
        <v>0.015</v>
      </c>
      <c r="H116" s="3" t="s">
        <v>58</v>
      </c>
    </row>
    <row r="117" ht="15.75" customHeight="1">
      <c r="A117" s="3" t="s">
        <v>516</v>
      </c>
      <c r="B117" s="4" t="s">
        <v>9</v>
      </c>
      <c r="C117" s="4" t="s">
        <v>16</v>
      </c>
      <c r="D117" s="3" t="s">
        <v>158</v>
      </c>
      <c r="E117" s="4">
        <f t="shared" si="1"/>
        <v>17</v>
      </c>
      <c r="F117" s="4">
        <f t="shared" si="2"/>
        <v>200</v>
      </c>
      <c r="G117" s="4">
        <f t="shared" si="3"/>
        <v>0.085</v>
      </c>
      <c r="H117" s="3" t="s">
        <v>18</v>
      </c>
    </row>
    <row r="118" ht="15.75" customHeight="1">
      <c r="A118" s="3" t="s">
        <v>516</v>
      </c>
      <c r="B118" s="4" t="s">
        <v>79</v>
      </c>
      <c r="C118" s="4" t="s">
        <v>10</v>
      </c>
      <c r="D118" s="3" t="s">
        <v>159</v>
      </c>
      <c r="E118" s="4">
        <f t="shared" si="1"/>
        <v>66</v>
      </c>
      <c r="F118" s="4">
        <f t="shared" si="2"/>
        <v>200</v>
      </c>
      <c r="G118" s="4">
        <f t="shared" si="3"/>
        <v>0.33</v>
      </c>
      <c r="H118" s="3" t="s">
        <v>15</v>
      </c>
    </row>
    <row r="119" ht="15.75" customHeight="1">
      <c r="A119" s="3" t="s">
        <v>516</v>
      </c>
      <c r="B119" s="4" t="s">
        <v>79</v>
      </c>
      <c r="C119" s="4" t="s">
        <v>13</v>
      </c>
      <c r="D119" s="3" t="s">
        <v>160</v>
      </c>
      <c r="E119" s="4">
        <f t="shared" si="1"/>
        <v>88</v>
      </c>
      <c r="F119" s="4">
        <f t="shared" si="2"/>
        <v>200</v>
      </c>
      <c r="G119" s="4">
        <f t="shared" si="3"/>
        <v>0.44</v>
      </c>
      <c r="H119" s="3" t="s">
        <v>509</v>
      </c>
    </row>
    <row r="120" ht="15.75" customHeight="1">
      <c r="A120" s="3" t="s">
        <v>516</v>
      </c>
      <c r="B120" s="4" t="s">
        <v>79</v>
      </c>
      <c r="C120" s="3" t="s">
        <v>496</v>
      </c>
      <c r="D120" s="3" t="s">
        <v>529</v>
      </c>
      <c r="E120" s="4">
        <f t="shared" si="1"/>
        <v>95</v>
      </c>
      <c r="F120" s="4">
        <f t="shared" si="2"/>
        <v>200</v>
      </c>
      <c r="G120" s="4">
        <f t="shared" si="3"/>
        <v>0.475</v>
      </c>
      <c r="H120" s="3" t="s">
        <v>58</v>
      </c>
    </row>
    <row r="121" ht="15.75" customHeight="1">
      <c r="A121" s="3" t="s">
        <v>516</v>
      </c>
      <c r="B121" s="4" t="s">
        <v>79</v>
      </c>
      <c r="C121" s="4" t="s">
        <v>16</v>
      </c>
      <c r="D121" s="3" t="s">
        <v>161</v>
      </c>
      <c r="E121" s="4">
        <f t="shared" si="1"/>
        <v>120</v>
      </c>
      <c r="F121" s="4">
        <f t="shared" si="2"/>
        <v>200</v>
      </c>
      <c r="G121" s="4">
        <f t="shared" si="3"/>
        <v>0.6</v>
      </c>
      <c r="H121" s="3" t="s">
        <v>18</v>
      </c>
    </row>
    <row r="122" ht="15.75" customHeight="1">
      <c r="A122" s="3" t="s">
        <v>516</v>
      </c>
      <c r="B122" s="4" t="s">
        <v>83</v>
      </c>
      <c r="C122" s="4" t="s">
        <v>10</v>
      </c>
      <c r="D122" s="3" t="s">
        <v>162</v>
      </c>
      <c r="E122" s="4">
        <f t="shared" si="1"/>
        <v>108</v>
      </c>
      <c r="F122" s="4">
        <f t="shared" si="2"/>
        <v>200</v>
      </c>
      <c r="G122" s="4">
        <f t="shared" si="3"/>
        <v>0.54</v>
      </c>
      <c r="H122" s="3" t="s">
        <v>58</v>
      </c>
    </row>
    <row r="123" ht="15.75" customHeight="1">
      <c r="A123" s="3" t="s">
        <v>516</v>
      </c>
      <c r="B123" s="4" t="s">
        <v>83</v>
      </c>
      <c r="C123" s="4" t="s">
        <v>13</v>
      </c>
      <c r="D123" s="3" t="s">
        <v>163</v>
      </c>
      <c r="E123" s="4">
        <f t="shared" si="1"/>
        <v>83</v>
      </c>
      <c r="F123" s="4">
        <f t="shared" si="2"/>
        <v>200</v>
      </c>
      <c r="G123" s="4">
        <f t="shared" si="3"/>
        <v>0.415</v>
      </c>
      <c r="H123" s="3" t="s">
        <v>12</v>
      </c>
    </row>
    <row r="124" ht="15.75" customHeight="1">
      <c r="A124" s="3" t="s">
        <v>516</v>
      </c>
      <c r="B124" s="4" t="s">
        <v>83</v>
      </c>
      <c r="C124" s="3" t="s">
        <v>496</v>
      </c>
      <c r="D124" s="3" t="s">
        <v>530</v>
      </c>
      <c r="E124" s="4">
        <f t="shared" si="1"/>
        <v>126</v>
      </c>
      <c r="F124" s="4">
        <f t="shared" si="2"/>
        <v>200</v>
      </c>
      <c r="G124" s="4">
        <f t="shared" si="3"/>
        <v>0.63</v>
      </c>
      <c r="H124" s="3" t="s">
        <v>18</v>
      </c>
    </row>
    <row r="125" ht="15.75" customHeight="1">
      <c r="A125" s="3" t="s">
        <v>516</v>
      </c>
      <c r="B125" s="4" t="s">
        <v>83</v>
      </c>
      <c r="C125" s="4" t="s">
        <v>16</v>
      </c>
      <c r="D125" s="3" t="s">
        <v>164</v>
      </c>
      <c r="E125" s="4">
        <f t="shared" si="1"/>
        <v>124</v>
      </c>
      <c r="F125" s="4">
        <f t="shared" si="2"/>
        <v>200</v>
      </c>
      <c r="G125" s="4">
        <f t="shared" si="3"/>
        <v>0.62</v>
      </c>
      <c r="H125" s="3" t="s">
        <v>18</v>
      </c>
    </row>
    <row r="126" ht="15.75" customHeight="1">
      <c r="A126" s="3" t="s">
        <v>516</v>
      </c>
      <c r="B126" s="4" t="s">
        <v>87</v>
      </c>
      <c r="C126" s="4" t="s">
        <v>10</v>
      </c>
      <c r="D126" s="3" t="s">
        <v>165</v>
      </c>
      <c r="E126" s="4">
        <f t="shared" si="1"/>
        <v>75</v>
      </c>
      <c r="F126" s="4">
        <f t="shared" si="2"/>
        <v>200</v>
      </c>
      <c r="G126" s="4">
        <f t="shared" si="3"/>
        <v>0.375</v>
      </c>
      <c r="H126" s="3" t="s">
        <v>15</v>
      </c>
    </row>
    <row r="127" ht="15.75" customHeight="1">
      <c r="A127" s="3" t="s">
        <v>516</v>
      </c>
      <c r="B127" s="4" t="s">
        <v>87</v>
      </c>
      <c r="C127" s="4" t="s">
        <v>13</v>
      </c>
      <c r="D127" s="3" t="s">
        <v>166</v>
      </c>
      <c r="E127" s="4">
        <f t="shared" si="1"/>
        <v>91</v>
      </c>
      <c r="F127" s="4">
        <f t="shared" si="2"/>
        <v>199</v>
      </c>
      <c r="G127" s="4">
        <f t="shared" si="3"/>
        <v>0.4572864322</v>
      </c>
      <c r="H127" s="3" t="s">
        <v>509</v>
      </c>
    </row>
    <row r="128" ht="15.75" customHeight="1">
      <c r="A128" s="3" t="s">
        <v>516</v>
      </c>
      <c r="B128" s="4" t="s">
        <v>87</v>
      </c>
      <c r="C128" s="3" t="s">
        <v>496</v>
      </c>
      <c r="D128" s="3" t="s">
        <v>531</v>
      </c>
      <c r="E128" s="4">
        <f t="shared" si="1"/>
        <v>120</v>
      </c>
      <c r="F128" s="4">
        <f t="shared" si="2"/>
        <v>200</v>
      </c>
      <c r="G128" s="4">
        <f t="shared" si="3"/>
        <v>0.6</v>
      </c>
      <c r="H128" s="3" t="s">
        <v>18</v>
      </c>
    </row>
    <row r="129" ht="15.75" customHeight="1">
      <c r="A129" s="3" t="s">
        <v>516</v>
      </c>
      <c r="B129" s="4" t="s">
        <v>87</v>
      </c>
      <c r="C129" s="4" t="s">
        <v>16</v>
      </c>
      <c r="D129" s="3" t="s">
        <v>167</v>
      </c>
      <c r="E129" s="4">
        <f t="shared" si="1"/>
        <v>107</v>
      </c>
      <c r="F129" s="4">
        <f t="shared" si="2"/>
        <v>200</v>
      </c>
      <c r="G129" s="4">
        <f t="shared" si="3"/>
        <v>0.535</v>
      </c>
      <c r="H129" s="3" t="s">
        <v>58</v>
      </c>
    </row>
    <row r="130" ht="15.75" customHeight="1">
      <c r="A130" s="3" t="s">
        <v>516</v>
      </c>
      <c r="B130" s="4" t="s">
        <v>23</v>
      </c>
      <c r="C130" s="4" t="s">
        <v>10</v>
      </c>
      <c r="D130" s="3" t="s">
        <v>168</v>
      </c>
      <c r="E130" s="4">
        <f t="shared" si="1"/>
        <v>24</v>
      </c>
      <c r="F130" s="4">
        <f t="shared" si="2"/>
        <v>200</v>
      </c>
      <c r="G130" s="4">
        <f t="shared" si="3"/>
        <v>0.12</v>
      </c>
      <c r="H130" s="3" t="s">
        <v>15</v>
      </c>
    </row>
    <row r="131" ht="15.75" customHeight="1">
      <c r="A131" s="3" t="s">
        <v>516</v>
      </c>
      <c r="B131" s="4" t="s">
        <v>23</v>
      </c>
      <c r="C131" s="4" t="s">
        <v>13</v>
      </c>
      <c r="D131" s="3" t="s">
        <v>169</v>
      </c>
      <c r="E131" s="4">
        <f t="shared" si="1"/>
        <v>74</v>
      </c>
      <c r="F131" s="4">
        <f t="shared" si="2"/>
        <v>200</v>
      </c>
      <c r="G131" s="4">
        <f t="shared" si="3"/>
        <v>0.37</v>
      </c>
      <c r="H131" s="3" t="s">
        <v>58</v>
      </c>
    </row>
    <row r="132" ht="15.75" customHeight="1">
      <c r="A132" s="3" t="s">
        <v>516</v>
      </c>
      <c r="B132" s="4" t="s">
        <v>23</v>
      </c>
      <c r="C132" s="3" t="s">
        <v>496</v>
      </c>
      <c r="D132" s="3" t="s">
        <v>532</v>
      </c>
      <c r="E132" s="4">
        <f t="shared" si="1"/>
        <v>68</v>
      </c>
      <c r="F132" s="4">
        <f t="shared" si="2"/>
        <v>199</v>
      </c>
      <c r="G132" s="4">
        <f t="shared" si="3"/>
        <v>0.3417085427</v>
      </c>
      <c r="H132" s="3" t="s">
        <v>12</v>
      </c>
    </row>
    <row r="133" ht="15.75" customHeight="1">
      <c r="A133" s="3" t="s">
        <v>516</v>
      </c>
      <c r="B133" s="4" t="s">
        <v>23</v>
      </c>
      <c r="C133" s="4" t="s">
        <v>16</v>
      </c>
      <c r="D133" s="3" t="s">
        <v>170</v>
      </c>
      <c r="E133" s="4">
        <f t="shared" si="1"/>
        <v>99</v>
      </c>
      <c r="F133" s="4">
        <f t="shared" si="2"/>
        <v>200</v>
      </c>
      <c r="G133" s="4">
        <f t="shared" si="3"/>
        <v>0.495</v>
      </c>
      <c r="H133" s="3" t="s">
        <v>18</v>
      </c>
    </row>
    <row r="134" ht="15.75" customHeight="1">
      <c r="A134" s="3" t="s">
        <v>516</v>
      </c>
      <c r="B134" s="4" t="s">
        <v>94</v>
      </c>
      <c r="C134" s="4" t="s">
        <v>10</v>
      </c>
      <c r="D134" s="3" t="s">
        <v>171</v>
      </c>
      <c r="E134" s="4">
        <f t="shared" si="1"/>
        <v>1239</v>
      </c>
      <c r="F134" s="4">
        <f t="shared" si="2"/>
        <v>3179</v>
      </c>
      <c r="G134" s="4">
        <f t="shared" si="3"/>
        <v>0.3897452029</v>
      </c>
      <c r="H134" s="3" t="s">
        <v>15</v>
      </c>
    </row>
    <row r="135" ht="15.75" customHeight="1">
      <c r="A135" s="3" t="s">
        <v>516</v>
      </c>
      <c r="B135" s="4" t="s">
        <v>94</v>
      </c>
      <c r="C135" s="4" t="s">
        <v>13</v>
      </c>
      <c r="D135" s="3" t="s">
        <v>172</v>
      </c>
      <c r="E135" s="4">
        <f t="shared" si="1"/>
        <v>1220</v>
      </c>
      <c r="F135" s="4">
        <f t="shared" si="2"/>
        <v>3181</v>
      </c>
      <c r="G135" s="4">
        <f t="shared" si="3"/>
        <v>0.3835271927</v>
      </c>
      <c r="H135" s="3" t="s">
        <v>15</v>
      </c>
    </row>
    <row r="136" ht="15.75" customHeight="1">
      <c r="A136" s="3" t="s">
        <v>516</v>
      </c>
      <c r="B136" s="4" t="s">
        <v>94</v>
      </c>
      <c r="C136" s="3" t="s">
        <v>496</v>
      </c>
      <c r="D136" s="3" t="s">
        <v>533</v>
      </c>
      <c r="E136" s="4">
        <f t="shared" si="1"/>
        <v>1430</v>
      </c>
      <c r="F136" s="4">
        <f t="shared" si="2"/>
        <v>3189</v>
      </c>
      <c r="G136" s="4">
        <f t="shared" si="3"/>
        <v>0.4484164315</v>
      </c>
      <c r="H136" s="3" t="s">
        <v>12</v>
      </c>
    </row>
    <row r="137" ht="15.75" customHeight="1">
      <c r="A137" s="3" t="s">
        <v>516</v>
      </c>
      <c r="B137" s="4" t="s">
        <v>94</v>
      </c>
      <c r="C137" s="4" t="s">
        <v>16</v>
      </c>
      <c r="D137" s="3" t="s">
        <v>173</v>
      </c>
      <c r="E137" s="4">
        <f t="shared" si="1"/>
        <v>1699</v>
      </c>
      <c r="F137" s="4">
        <f t="shared" si="2"/>
        <v>3194</v>
      </c>
      <c r="G137" s="4">
        <f t="shared" si="3"/>
        <v>0.5319348779</v>
      </c>
      <c r="H137" s="3" t="s">
        <v>18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